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46281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46281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46281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46281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46281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46281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46281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46281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46281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46281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46281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46281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46281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46281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46281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46281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46281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46281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46281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46281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55880-2023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45239</v>
      </c>
      <c r="E29" s="1" t="n">
        <v>46281</v>
      </c>
      <c r="F29" t="inlineStr">
        <is>
          <t>HALLANDS LÄN</t>
        </is>
      </c>
      <c r="G29" t="inlineStr">
        <is>
          <t>FALKENBERG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HYPERLINK("https://klasma.github.io/Logging_1382/artfynd/A 55880-2023 artfynd.xlsx", "A 55880-2023")</f>
        <v/>
      </c>
      <c r="X29">
        <f>HYPERLINK("https://klasma.github.io/Logging_1382/kartor/A 55880-2023 karta.png", "A 55880-2023")</f>
        <v/>
      </c>
      <c r="Y29">
        <f>HYPERLINK("https://klasma.github.io/Logging_1382/kartor_geotiff/A 55880-2023 georefererad karta.tif", "A 55880-2023")</f>
        <v/>
      </c>
      <c r="AA29">
        <f>HYPERLINK("https://klasma.github.io/Logging_1382/klagomål/A 55880-2023 FSC-klagomål.docx", "A 55880-2023")</f>
        <v/>
      </c>
      <c r="AB29">
        <f>HYPERLINK("https://klasma.github.io/Logging_1382/klagomålsmail/A 55880-2023 FSC-klagomål mail.docx", "A 55880-2023")</f>
        <v/>
      </c>
      <c r="AC29">
        <f>HYPERLINK("https://klasma.github.io/Logging_1382/tillsyn/A 55880-2023 tillsynsbegäran.docx", "A 55880-2023")</f>
        <v/>
      </c>
      <c r="AD29">
        <f>HYPERLINK("https://klasma.github.io/Logging_1382/tillsynsmail/A 55880-2023 tillsynsbegäran mail.docx", "A 55880-2023")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46281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46281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46281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46281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8483-2024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45355</v>
      </c>
      <c r="E34" s="1" t="n">
        <v>46281</v>
      </c>
      <c r="F34" t="inlineStr">
        <is>
          <t>HALLANDS LÄN</t>
        </is>
      </c>
      <c r="G34" t="inlineStr">
        <is>
          <t>FALKENBERG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HYPERLINK("https://klasma.github.io/Logging_1382/artfynd/A 8483-2024 artfynd.xlsx", "A 8483-2024")</f>
        <v/>
      </c>
      <c r="X34">
        <f>HYPERLINK("https://klasma.github.io/Logging_1382/kartor/A 8483-2024 karta.png", "A 8483-2024")</f>
        <v/>
      </c>
      <c r="Y34">
        <f>HYPERLINK("https://klasma.github.io/Logging_1382/kartor_geotiff/A 8483-2024 georefererad karta.tif", "A 8483-2024")</f>
        <v/>
      </c>
      <c r="AA34">
        <f>HYPERLINK("https://klasma.github.io/Logging_1382/klagomål/A 8483-2024 FSC-klagomål.docx", "A 8483-2024")</f>
        <v/>
      </c>
      <c r="AB34">
        <f>HYPERLINK("https://klasma.github.io/Logging_1382/klagomålsmail/A 8483-2024 FSC-klagomål mail.docx", "A 8483-2024")</f>
        <v/>
      </c>
      <c r="AC34">
        <f>HYPERLINK("https://klasma.github.io/Logging_1382/tillsyn/A 8483-2024 tillsynsbegäran.docx", "A 8483-2024")</f>
        <v/>
      </c>
      <c r="AD34">
        <f>HYPERLINK("https://klasma.github.io/Logging_1382/tillsynsmail/A 8483-2024 tillsynsbegäran mail.docx", "A 8483-2024")</f>
        <v/>
      </c>
      <c r="AE34">
        <f>HYPERLINK("https://klasma.github.io/Logging_1382/fåglar/A 8483-2024 prioriterade fågelarter.docx", "A 8483-2024")</f>
        <v/>
      </c>
    </row>
    <row r="35" ht="15" customHeight="1">
      <c r="A35" t="inlineStr">
        <is>
          <t>A 58534-2022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44902</v>
      </c>
      <c r="E35" s="1" t="n">
        <v>46281</v>
      </c>
      <c r="F35" t="inlineStr">
        <is>
          <t>HALLANDS LÄN</t>
        </is>
      </c>
      <c r="G35" t="inlineStr">
        <is>
          <t>FALKENBERG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58534-2022 artfynd.xlsx", "A 58534-2022")</f>
        <v/>
      </c>
      <c r="X35">
        <f>HYPERLINK("https://klasma.github.io/Logging_1382/kartor/A 58534-2022 karta.png", "A 58534-2022")</f>
        <v/>
      </c>
      <c r="Y35">
        <f>HYPERLINK("https://klasma.github.io/Logging_1382/kartor_geotiff/A 58534-2022 georefererad karta.tif", "A 58534-2022")</f>
        <v/>
      </c>
      <c r="AA35">
        <f>HYPERLINK("https://klasma.github.io/Logging_1382/klagomål/A 58534-2022 FSC-klagomål.docx", "A 58534-2022")</f>
        <v/>
      </c>
      <c r="AB35">
        <f>HYPERLINK("https://klasma.github.io/Logging_1382/klagomålsmail/A 58534-2022 FSC-klagomål mail.docx", "A 58534-2022")</f>
        <v/>
      </c>
      <c r="AC35">
        <f>HYPERLINK("https://klasma.github.io/Logging_1382/tillsyn/A 58534-2022 tillsynsbegäran.docx", "A 58534-2022")</f>
        <v/>
      </c>
      <c r="AD35">
        <f>HYPERLINK("https://klasma.github.io/Logging_1382/tillsynsmail/A 58534-2022 tillsynsbegäran mail.docx", "A 58534-2022")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46281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46281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46281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33663-2026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46248</v>
      </c>
      <c r="E39" s="1" t="n">
        <v>46281</v>
      </c>
      <c r="F39" t="inlineStr">
        <is>
          <t>HALLANDS LÄN</t>
        </is>
      </c>
      <c r="G39" t="inlineStr">
        <is>
          <t>FALKENBERG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HYPERLINK("https://klasma.github.io/Logging_1382/artfynd/A 33663-2026 artfynd.xlsx", "A 33663-2026")</f>
        <v/>
      </c>
      <c r="X39">
        <f>HYPERLINK("https://klasma.github.io/Logging_1382/kartor/A 33663-2026 karta.png", "A 33663-2026")</f>
        <v/>
      </c>
      <c r="Y39">
        <f>HYPERLINK("https://klasma.github.io/Logging_1382/kartor_geotiff/A 33663-2026 georefererad karta.tif", "A 33663-2026")</f>
        <v/>
      </c>
      <c r="AA39">
        <f>HYPERLINK("https://klasma.github.io/Logging_1382/klagomål/A 33663-2026 FSC-klagomål.docx", "A 33663-2026")</f>
        <v/>
      </c>
      <c r="AB39">
        <f>HYPERLINK("https://klasma.github.io/Logging_1382/klagomålsmail/A 33663-2026 FSC-klagomål mail.docx", "A 33663-2026")</f>
        <v/>
      </c>
      <c r="AC39">
        <f>HYPERLINK("https://klasma.github.io/Logging_1382/tillsyn/A 33663-2026 tillsynsbegäran.docx", "A 33663-2026")</f>
        <v/>
      </c>
      <c r="AD39">
        <f>HYPERLINK("https://klasma.github.io/Logging_1382/tillsynsmail/A 33663-2026 tillsynsbegäran mail.docx", "A 33663-2026")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46281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46281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A 63130-2023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46281</v>
      </c>
      <c r="F42" t="inlineStr">
        <is>
          <t>HALLANDS LÄN</t>
        </is>
      </c>
      <c r="G42" t="inlineStr">
        <is>
          <t>FALKENBERG</t>
        </is>
      </c>
      <c r="I42" t="n">
        <v>4.1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Hårginst</t>
        </is>
      </c>
      <c r="W42">
        <f>HYPERLINK("https://klasma.github.io/Logging_1382/artfynd/A 63130-2023 artfynd.xlsx", "A 63130-2023")</f>
        <v/>
      </c>
      <c r="X42">
        <f>HYPERLINK("https://klasma.github.io/Logging_1382/kartor/A 63130-2023 karta.png", "A 63130-2023")</f>
        <v/>
      </c>
      <c r="Y42">
        <f>HYPERLINK("https://klasma.github.io/Logging_1382/kartor_geotiff/A 63130-2023 georefererad karta.tif", "A 63130-2023")</f>
        <v/>
      </c>
      <c r="AA42">
        <f>HYPERLINK("https://klasma.github.io/Logging_1382/klagomål/A 63130-2023 FSC-klagomål.docx", "A 63130-2023")</f>
        <v/>
      </c>
      <c r="AB42">
        <f>HYPERLINK("https://klasma.github.io/Logging_1382/klagomålsmail/A 63130-2023 FSC-klagomål mail.docx", "A 63130-2023")</f>
        <v/>
      </c>
      <c r="AC42">
        <f>HYPERLINK("https://klasma.github.io/Logging_1382/tillsyn/A 63130-2023 tillsynsbegäran.docx", "A 63130-2023")</f>
        <v/>
      </c>
      <c r="AD42">
        <f>HYPERLINK("https://klasma.github.io/Logging_1382/tillsynsmail/A 63130-2023 tillsynsbegäran mail.docx", "A 63130-2023")</f>
        <v/>
      </c>
    </row>
    <row r="43" ht="15" customHeight="1">
      <c r="A43" t="inlineStr">
        <is>
          <t>A 21814-2023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46281</v>
      </c>
      <c r="F43" t="inlineStr">
        <is>
          <t>HALLANDS LÄN</t>
        </is>
      </c>
      <c r="G43" t="inlineStr">
        <is>
          <t>FALKENBERG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21814-2023 artfynd.xlsx", "A 21814-2023")</f>
        <v/>
      </c>
      <c r="X43">
        <f>HYPERLINK("https://klasma.github.io/Logging_1382/kartor/A 21814-2023 karta.png", "A 21814-2023")</f>
        <v/>
      </c>
      <c r="Y43">
        <f>HYPERLINK("https://klasma.github.io/Logging_1382/kartor_geotiff/A 21814-2023 georefererad karta.tif", "A 21814-2023")</f>
        <v/>
      </c>
      <c r="AA43">
        <f>HYPERLINK("https://klasma.github.io/Logging_1382/klagomål/A 21814-2023 FSC-klagomål.docx", "A 21814-2023")</f>
        <v/>
      </c>
      <c r="AB43">
        <f>HYPERLINK("https://klasma.github.io/Logging_1382/klagomålsmail/A 21814-2023 FSC-klagomål mail.docx", "A 21814-2023")</f>
        <v/>
      </c>
      <c r="AC43">
        <f>HYPERLINK("https://klasma.github.io/Logging_1382/tillsyn/A 21814-2023 tillsynsbegäran.docx", "A 21814-2023")</f>
        <v/>
      </c>
      <c r="AD43">
        <f>HYPERLINK("https://klasma.github.io/Logging_1382/tillsynsmail/A 21814-2023 tillsynsbegäran mail.docx", "A 21814-2023")</f>
        <v/>
      </c>
    </row>
    <row r="44" ht="15" customHeight="1">
      <c r="A44" t="inlineStr">
        <is>
          <t>A 63247-2023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45273</v>
      </c>
      <c r="E44" s="1" t="n">
        <v>46281</v>
      </c>
      <c r="F44" t="inlineStr">
        <is>
          <t>HALLANDS LÄN</t>
        </is>
      </c>
      <c r="G44" t="inlineStr">
        <is>
          <t>FALKENBERG</t>
        </is>
      </c>
      <c r="I44" t="n">
        <v>6.8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Myskbock</t>
        </is>
      </c>
      <c r="W44">
        <f>HYPERLINK("https://klasma.github.io/Logging_1382/artfynd/A 63247-2023 artfynd.xlsx", "A 63247-2023")</f>
        <v/>
      </c>
      <c r="X44">
        <f>HYPERLINK("https://klasma.github.io/Logging_1382/kartor/A 63247-2023 karta.png", "A 63247-2023")</f>
        <v/>
      </c>
      <c r="Y44">
        <f>HYPERLINK("https://klasma.github.io/Logging_1382/kartor_geotiff/A 63247-2023 georefererad karta.tif", "A 63247-2023")</f>
        <v/>
      </c>
      <c r="AA44">
        <f>HYPERLINK("https://klasma.github.io/Logging_1382/klagomål/A 63247-2023 FSC-klagomål.docx", "A 63247-2023")</f>
        <v/>
      </c>
      <c r="AB44">
        <f>HYPERLINK("https://klasma.github.io/Logging_1382/klagomålsmail/A 63247-2023 FSC-klagomål mail.docx", "A 63247-2023")</f>
        <v/>
      </c>
      <c r="AC44">
        <f>HYPERLINK("https://klasma.github.io/Logging_1382/tillsyn/A 63247-2023 tillsynsbegäran.docx", "A 63247-2023")</f>
        <v/>
      </c>
      <c r="AD44">
        <f>HYPERLINK("https://klasma.github.io/Logging_1382/tillsynsmail/A 63247-2023 tillsynsbegäran mail.docx", "A 63247-2023")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46281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46281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46281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46281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46281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46281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46281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46281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46281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46281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46281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46281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46281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46281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46281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46281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46281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46281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46281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46281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46281</v>
      </c>
      <c r="F65" t="inlineStr">
        <is>
          <t>HALLANDS LÄN</t>
        </is>
      </c>
      <c r="G65" t="inlineStr">
        <is>
          <t>FALKENBERG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46281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46281</v>
      </c>
      <c r="F67" t="inlineStr">
        <is>
          <t>HALLANDS LÄN</t>
        </is>
      </c>
      <c r="G67" t="inlineStr">
        <is>
          <t>FALKENBERG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46281</v>
      </c>
      <c r="F68" t="inlineStr">
        <is>
          <t>HALLANDS LÄN</t>
        </is>
      </c>
      <c r="G68" t="inlineStr">
        <is>
          <t>FALKENBERG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44689</v>
      </c>
      <c r="E69" s="1" t="n">
        <v>46281</v>
      </c>
      <c r="F69" t="inlineStr">
        <is>
          <t>HALLANDS LÄN</t>
        </is>
      </c>
      <c r="G69" t="inlineStr">
        <is>
          <t>FALKENBERG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46281</v>
      </c>
      <c r="F70" t="inlineStr">
        <is>
          <t>HALLANDS LÄN</t>
        </is>
      </c>
      <c r="G70" t="inlineStr">
        <is>
          <t>FALKENBERG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46281</v>
      </c>
      <c r="F71" t="inlineStr">
        <is>
          <t>HALLANDS LÄN</t>
        </is>
      </c>
      <c r="G71" t="inlineStr">
        <is>
          <t>FALKENBERG</t>
        </is>
      </c>
      <c r="H71" t="inlineStr">
        <is>
          <t>Kommuner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46281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44617</v>
      </c>
      <c r="E73" s="1" t="n">
        <v>46281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46281</v>
      </c>
      <c r="F74" t="inlineStr">
        <is>
          <t>HALLANDS LÄN</t>
        </is>
      </c>
      <c r="G74" t="inlineStr">
        <is>
          <t>FALKENBERG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46281</v>
      </c>
      <c r="F75" t="inlineStr">
        <is>
          <t>HALLANDS LÄN</t>
        </is>
      </c>
      <c r="G75" t="inlineStr">
        <is>
          <t>FALKENBERG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46281</v>
      </c>
      <c r="F76" t="inlineStr">
        <is>
          <t>HALLANDS LÄN</t>
        </is>
      </c>
      <c r="G76" t="inlineStr">
        <is>
          <t>FALKENBERG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46281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71958-2021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46281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44600</v>
      </c>
      <c r="E79" s="1" t="n">
        <v>46281</v>
      </c>
      <c r="F79" t="inlineStr">
        <is>
          <t>HALLANDS LÄN</t>
        </is>
      </c>
      <c r="G79" t="inlineStr">
        <is>
          <t>FALKENBERG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46281</v>
      </c>
      <c r="F80" t="inlineStr">
        <is>
          <t>HALLANDS LÄN</t>
        </is>
      </c>
      <c r="G80" t="inlineStr">
        <is>
          <t>FALKENBERG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46281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46281</v>
      </c>
      <c r="F82" t="inlineStr">
        <is>
          <t>HALLANDS LÄN</t>
        </is>
      </c>
      <c r="G82" t="inlineStr">
        <is>
          <t>FALKENBERG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46281</v>
      </c>
      <c r="F83" t="inlineStr">
        <is>
          <t>HALLANDS LÄN</t>
        </is>
      </c>
      <c r="G83" t="inlineStr">
        <is>
          <t>FALKENBERG</t>
        </is>
      </c>
      <c r="I83" t="n">
        <v>12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46281</v>
      </c>
      <c r="F84" t="inlineStr">
        <is>
          <t>HALLANDS LÄN</t>
        </is>
      </c>
      <c r="G84" t="inlineStr">
        <is>
          <t>FALKENBERG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44747</v>
      </c>
      <c r="E85" s="1" t="n">
        <v>46281</v>
      </c>
      <c r="F85" t="inlineStr">
        <is>
          <t>HALLANDS LÄN</t>
        </is>
      </c>
      <c r="G85" t="inlineStr">
        <is>
          <t>FALKENBERG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46281</v>
      </c>
      <c r="F86" t="inlineStr">
        <is>
          <t>HALLANDS LÄN</t>
        </is>
      </c>
      <c r="G86" t="inlineStr">
        <is>
          <t>FALKENBERG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46281</v>
      </c>
      <c r="F87" t="inlineStr">
        <is>
          <t>HALLANDS LÄN</t>
        </is>
      </c>
      <c r="G87" t="inlineStr">
        <is>
          <t>FALKENBERG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44545</v>
      </c>
      <c r="E88" s="1" t="n">
        <v>46281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46281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46281</v>
      </c>
      <c r="F90" t="inlineStr">
        <is>
          <t>HALLANDS LÄN</t>
        </is>
      </c>
      <c r="G90" t="inlineStr">
        <is>
          <t>FALKENBERG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46281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46281</v>
      </c>
      <c r="F92" t="inlineStr">
        <is>
          <t>HALLANDS LÄN</t>
        </is>
      </c>
      <c r="G92" t="inlineStr">
        <is>
          <t>FALKENBERG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46281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53076-2021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46281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46281</v>
      </c>
      <c r="F95" t="inlineStr">
        <is>
          <t>HALLANDS LÄN</t>
        </is>
      </c>
      <c r="G95" t="inlineStr">
        <is>
          <t>FALKENBERG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46281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46281</v>
      </c>
      <c r="F97" t="inlineStr">
        <is>
          <t>HALLANDS LÄN</t>
        </is>
      </c>
      <c r="G97" t="inlineStr">
        <is>
          <t>FALKENBERG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46281</v>
      </c>
      <c r="F98" t="inlineStr">
        <is>
          <t>HALLANDS LÄN</t>
        </is>
      </c>
      <c r="G98" t="inlineStr">
        <is>
          <t>FALKENBERG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71703-2021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46281</v>
      </c>
      <c r="F99" t="inlineStr">
        <is>
          <t>HALLANDS LÄN</t>
        </is>
      </c>
      <c r="G99" t="inlineStr">
        <is>
          <t>FALKENBERG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46281</v>
      </c>
      <c r="F100" t="inlineStr">
        <is>
          <t>HALLANDS LÄN</t>
        </is>
      </c>
      <c r="G100" t="inlineStr">
        <is>
          <t>FALKENBERG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44466</v>
      </c>
      <c r="E101" s="1" t="n">
        <v>46281</v>
      </c>
      <c r="F101" t="inlineStr">
        <is>
          <t>HALLANDS LÄN</t>
        </is>
      </c>
      <c r="G101" t="inlineStr">
        <is>
          <t>FALKENBERG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46281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46281</v>
      </c>
      <c r="F103" t="inlineStr">
        <is>
          <t>HALLANDS LÄN</t>
        </is>
      </c>
      <c r="G103" t="inlineStr">
        <is>
          <t>FALKENBERG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46281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46281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46281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46281</v>
      </c>
      <c r="F107" t="inlineStr">
        <is>
          <t>HALLANDS LÄN</t>
        </is>
      </c>
      <c r="G107" t="inlineStr">
        <is>
          <t>FALKENBERG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46281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46281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46281</v>
      </c>
      <c r="F110" t="inlineStr">
        <is>
          <t>HALLANDS LÄN</t>
        </is>
      </c>
      <c r="G110" t="inlineStr">
        <is>
          <t>FALKENBERG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46281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46281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46281</v>
      </c>
      <c r="F113" t="inlineStr">
        <is>
          <t>HALLANDS LÄN</t>
        </is>
      </c>
      <c r="G113" t="inlineStr">
        <is>
          <t>FALKENBERG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42915-2023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46281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46281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45188</v>
      </c>
      <c r="E116" s="1" t="n">
        <v>46281</v>
      </c>
      <c r="F116" t="inlineStr">
        <is>
          <t>HALLANDS LÄN</t>
        </is>
      </c>
      <c r="G116" t="inlineStr">
        <is>
          <t>FALKENBERG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46281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46281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45131</v>
      </c>
      <c r="E119" s="1" t="n">
        <v>46281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46281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44943</v>
      </c>
      <c r="E121" s="1" t="n">
        <v>46281</v>
      </c>
      <c r="F121" t="inlineStr">
        <is>
          <t>HALLANDS LÄN</t>
        </is>
      </c>
      <c r="G121" t="inlineStr">
        <is>
          <t>FALKENBERG</t>
        </is>
      </c>
      <c r="H121" t="inlineStr">
        <is>
          <t>Bergvik skog väst AB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46281</v>
      </c>
      <c r="F122" t="inlineStr">
        <is>
          <t>HALLANDS LÄN</t>
        </is>
      </c>
      <c r="G122" t="inlineStr">
        <is>
          <t>FALKENBERG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46281</v>
      </c>
      <c r="F123" t="inlineStr">
        <is>
          <t>HALLANDS LÄN</t>
        </is>
      </c>
      <c r="G123" t="inlineStr">
        <is>
          <t>FALKENBERG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46281</v>
      </c>
      <c r="F124" t="inlineStr">
        <is>
          <t>HALLANDS LÄN</t>
        </is>
      </c>
      <c r="G124" t="inlineStr">
        <is>
          <t>FALKENBERG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46281</v>
      </c>
      <c r="F125" t="inlineStr">
        <is>
          <t>HALLANDS LÄN</t>
        </is>
      </c>
      <c r="G125" t="inlineStr">
        <is>
          <t>FALKENBERG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46281</v>
      </c>
      <c r="F126" t="inlineStr">
        <is>
          <t>HALLANDS LÄN</t>
        </is>
      </c>
      <c r="G126" t="inlineStr">
        <is>
          <t>FALKENBERG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46281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45705</v>
      </c>
      <c r="E128" s="1" t="n">
        <v>46281</v>
      </c>
      <c r="F128" t="inlineStr">
        <is>
          <t>HALLANDS LÄN</t>
        </is>
      </c>
      <c r="G128" t="inlineStr">
        <is>
          <t>FALKENBERG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45350</v>
      </c>
      <c r="E129" s="1" t="n">
        <v>46281</v>
      </c>
      <c r="F129" t="inlineStr">
        <is>
          <t>HALLANDS LÄN</t>
        </is>
      </c>
      <c r="G129" t="inlineStr">
        <is>
          <t>FALKENBERG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53400-2023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45229</v>
      </c>
      <c r="E130" s="1" t="n">
        <v>46281</v>
      </c>
      <c r="F130" t="inlineStr">
        <is>
          <t>HALLANDS LÄN</t>
        </is>
      </c>
      <c r="G130" t="inlineStr">
        <is>
          <t>FALKENBERG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46281</v>
      </c>
      <c r="F131" t="inlineStr">
        <is>
          <t>HALLANDS LÄN</t>
        </is>
      </c>
      <c r="G131" t="inlineStr">
        <is>
          <t>FALKENBERG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46281</v>
      </c>
      <c r="F132" t="inlineStr">
        <is>
          <t>HALLANDS LÄN</t>
        </is>
      </c>
      <c r="G132" t="inlineStr">
        <is>
          <t>FALKENBERG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55876-2023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45239</v>
      </c>
      <c r="E133" s="1" t="n">
        <v>46281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46281</v>
      </c>
      <c r="F134" t="inlineStr">
        <is>
          <t>HALLANDS LÄN</t>
        </is>
      </c>
      <c r="G134" t="inlineStr">
        <is>
          <t>FALKENBERG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46281</v>
      </c>
      <c r="F135" t="inlineStr">
        <is>
          <t>HALLANDS LÄN</t>
        </is>
      </c>
      <c r="G135" t="inlineStr">
        <is>
          <t>FALKENBERG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46281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46281</v>
      </c>
      <c r="F137" t="inlineStr">
        <is>
          <t>HALLANDS LÄN</t>
        </is>
      </c>
      <c r="G137" t="inlineStr">
        <is>
          <t>FALKENBERG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46281</v>
      </c>
      <c r="F138" t="inlineStr">
        <is>
          <t>HALLANDS LÄN</t>
        </is>
      </c>
      <c r="G138" t="inlineStr">
        <is>
          <t>FALKENBERG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46281</v>
      </c>
      <c r="F139" t="inlineStr">
        <is>
          <t>HALLANDS LÄN</t>
        </is>
      </c>
      <c r="G139" t="inlineStr">
        <is>
          <t>FALKENBERG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46281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45419</v>
      </c>
      <c r="E141" s="1" t="n">
        <v>46281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46281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46281</v>
      </c>
      <c r="F143" t="inlineStr">
        <is>
          <t>HALLANDS LÄN</t>
        </is>
      </c>
      <c r="G143" t="inlineStr">
        <is>
          <t>FALKENBERG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44938</v>
      </c>
      <c r="E144" s="1" t="n">
        <v>46281</v>
      </c>
      <c r="F144" t="inlineStr">
        <is>
          <t>HALLANDS LÄN</t>
        </is>
      </c>
      <c r="G144" t="inlineStr">
        <is>
          <t>FALKENBERG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45323</v>
      </c>
      <c r="E145" s="1" t="n">
        <v>46281</v>
      </c>
      <c r="F145" t="inlineStr">
        <is>
          <t>HALLANDS LÄN</t>
        </is>
      </c>
      <c r="G145" t="inlineStr">
        <is>
          <t>FALKENBERG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46281</v>
      </c>
      <c r="F146" t="inlineStr">
        <is>
          <t>HALLANDS LÄN</t>
        </is>
      </c>
      <c r="G146" t="inlineStr">
        <is>
          <t>FALKENBERG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46281</v>
      </c>
      <c r="F147" t="inlineStr">
        <is>
          <t>HALLANDS LÄN</t>
        </is>
      </c>
      <c r="G147" t="inlineStr">
        <is>
          <t>FALKENBERG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46281</v>
      </c>
      <c r="F148" t="inlineStr">
        <is>
          <t>HALLANDS LÄN</t>
        </is>
      </c>
      <c r="G148" t="inlineStr">
        <is>
          <t>FALKENBERG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46281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46281</v>
      </c>
      <c r="F150" t="inlineStr">
        <is>
          <t>HALLANDS LÄN</t>
        </is>
      </c>
      <c r="G150" t="inlineStr">
        <is>
          <t>FALKENBERG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45091</v>
      </c>
      <c r="E151" s="1" t="n">
        <v>46281</v>
      </c>
      <c r="F151" t="inlineStr">
        <is>
          <t>HALLANDS LÄN</t>
        </is>
      </c>
      <c r="G151" t="inlineStr">
        <is>
          <t>FALKENBERG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45118</v>
      </c>
      <c r="E152" s="1" t="n">
        <v>46281</v>
      </c>
      <c r="F152" t="inlineStr">
        <is>
          <t>HALLANDS LÄN</t>
        </is>
      </c>
      <c r="G152" t="inlineStr">
        <is>
          <t>FALKENBERG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46281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46281</v>
      </c>
      <c r="F154" t="inlineStr">
        <is>
          <t>HALLANDS LÄN</t>
        </is>
      </c>
      <c r="G154" t="inlineStr">
        <is>
          <t>FALKENBERG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46281</v>
      </c>
      <c r="F155" t="inlineStr">
        <is>
          <t>HALLANDS LÄN</t>
        </is>
      </c>
      <c r="G155" t="inlineStr">
        <is>
          <t>FALKENBERG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46281</v>
      </c>
      <c r="F156" t="inlineStr">
        <is>
          <t>HALLANDS LÄN</t>
        </is>
      </c>
      <c r="G156" t="inlineStr">
        <is>
          <t>FALKENBERG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46077</v>
      </c>
      <c r="E157" s="1" t="n">
        <v>46281</v>
      </c>
      <c r="F157" t="inlineStr">
        <is>
          <t>HALLANDS LÄN</t>
        </is>
      </c>
      <c r="G157" t="inlineStr">
        <is>
          <t>FALKENBERG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46281</v>
      </c>
      <c r="F158" t="inlineStr">
        <is>
          <t>HALLANDS LÄN</t>
        </is>
      </c>
      <c r="G158" t="inlineStr">
        <is>
          <t>FALKENBERG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46281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46281</v>
      </c>
      <c r="F160" t="inlineStr">
        <is>
          <t>HALLANDS LÄN</t>
        </is>
      </c>
      <c r="G160" t="inlineStr">
        <is>
          <t>FALKENBERG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46281</v>
      </c>
      <c r="F161" t="inlineStr">
        <is>
          <t>HALLANDS LÄN</t>
        </is>
      </c>
      <c r="G161" t="inlineStr">
        <is>
          <t>FALKENBERG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46281</v>
      </c>
      <c r="F162" t="inlineStr">
        <is>
          <t>HALLANDS LÄN</t>
        </is>
      </c>
      <c r="G162" t="inlineStr">
        <is>
          <t>FALKENBERG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46281</v>
      </c>
      <c r="F163" t="inlineStr">
        <is>
          <t>HALLANDS LÄN</t>
        </is>
      </c>
      <c r="G163" t="inlineStr">
        <is>
          <t>FALKENBERG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46082</v>
      </c>
      <c r="E164" s="1" t="n">
        <v>46281</v>
      </c>
      <c r="F164" t="inlineStr">
        <is>
          <t>HALLANDS LÄN</t>
        </is>
      </c>
      <c r="G164" t="inlineStr">
        <is>
          <t>FALKENBERG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46281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72277-2021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44545</v>
      </c>
      <c r="E166" s="1" t="n">
        <v>46281</v>
      </c>
      <c r="F166" t="inlineStr">
        <is>
          <t>HALLANDS LÄN</t>
        </is>
      </c>
      <c r="G166" t="inlineStr">
        <is>
          <t>FALKENBERG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46082</v>
      </c>
      <c r="E167" s="1" t="n">
        <v>46281</v>
      </c>
      <c r="F167" t="inlineStr">
        <is>
          <t>HALLANDS LÄN</t>
        </is>
      </c>
      <c r="G167" t="inlineStr">
        <is>
          <t>FALKENBERG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46281</v>
      </c>
      <c r="F168" t="inlineStr">
        <is>
          <t>HALLANDS LÄN</t>
        </is>
      </c>
      <c r="G168" t="inlineStr">
        <is>
          <t>FALKENBERG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46281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46281</v>
      </c>
      <c r="F170" t="inlineStr">
        <is>
          <t>HALLANDS LÄN</t>
        </is>
      </c>
      <c r="G170" t="inlineStr">
        <is>
          <t>FALKENBERG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60909-2022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44908</v>
      </c>
      <c r="E171" s="1" t="n">
        <v>46281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46281</v>
      </c>
      <c r="F172" t="inlineStr">
        <is>
          <t>HALLANDS LÄN</t>
        </is>
      </c>
      <c r="G172" t="inlineStr">
        <is>
          <t>FALKENBERG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46281</v>
      </c>
      <c r="F173" t="inlineStr">
        <is>
          <t>HALLANDS LÄN</t>
        </is>
      </c>
      <c r="G173" t="inlineStr">
        <is>
          <t>FALKENBERG</t>
        </is>
      </c>
      <c r="H173" t="inlineStr">
        <is>
          <t>Kommuner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46281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45300</v>
      </c>
      <c r="E175" s="1" t="n">
        <v>46281</v>
      </c>
      <c r="F175" t="inlineStr">
        <is>
          <t>HALLANDS LÄN</t>
        </is>
      </c>
      <c r="G175" t="inlineStr">
        <is>
          <t>FALKENBERG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46281</v>
      </c>
      <c r="F176" t="inlineStr">
        <is>
          <t>HALLANDS LÄN</t>
        </is>
      </c>
      <c r="G176" t="inlineStr">
        <is>
          <t>FALKENBERG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46281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45782</v>
      </c>
      <c r="E178" s="1" t="n">
        <v>46281</v>
      </c>
      <c r="F178" t="inlineStr">
        <is>
          <t>HALLANDS LÄN</t>
        </is>
      </c>
      <c r="G178" t="inlineStr">
        <is>
          <t>FALKENBERG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46281</v>
      </c>
      <c r="F179" t="inlineStr">
        <is>
          <t>HALLANDS LÄN</t>
        </is>
      </c>
      <c r="G179" t="inlineStr">
        <is>
          <t>FALKENBERG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46281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46281</v>
      </c>
      <c r="F181" t="inlineStr">
        <is>
          <t>HALLANDS LÄN</t>
        </is>
      </c>
      <c r="G181" t="inlineStr">
        <is>
          <t>FALKENBERG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46281</v>
      </c>
      <c r="F182" t="inlineStr">
        <is>
          <t>HALLANDS LÄN</t>
        </is>
      </c>
      <c r="G182" t="inlineStr">
        <is>
          <t>FALKENBERG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46281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46281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46281</v>
      </c>
      <c r="F185" t="inlineStr">
        <is>
          <t>HALLANDS LÄN</t>
        </is>
      </c>
      <c r="G185" t="inlineStr">
        <is>
          <t>FALKENBERG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46281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46281</v>
      </c>
      <c r="F187" t="inlineStr">
        <is>
          <t>HALLANDS LÄN</t>
        </is>
      </c>
      <c r="G187" t="inlineStr">
        <is>
          <t>FALKENBERG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46281</v>
      </c>
      <c r="F188" t="inlineStr">
        <is>
          <t>HALLANDS LÄN</t>
        </is>
      </c>
      <c r="G188" t="inlineStr">
        <is>
          <t>FALKENBERG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46281</v>
      </c>
      <c r="F189" t="inlineStr">
        <is>
          <t>HALLANDS LÄN</t>
        </is>
      </c>
      <c r="G189" t="inlineStr">
        <is>
          <t>FALKENBERG</t>
        </is>
      </c>
      <c r="I189" t="n">
        <v>29.4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46281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44602</v>
      </c>
      <c r="E191" s="1" t="n">
        <v>46281</v>
      </c>
      <c r="F191" t="inlineStr">
        <is>
          <t>HALLANDS LÄN</t>
        </is>
      </c>
      <c r="G191" t="inlineStr">
        <is>
          <t>FALKENBERG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46281</v>
      </c>
      <c r="F192" t="inlineStr">
        <is>
          <t>HALLANDS LÄN</t>
        </is>
      </c>
      <c r="G192" t="inlineStr">
        <is>
          <t>FALKENBERG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46281</v>
      </c>
      <c r="F193" t="inlineStr">
        <is>
          <t>HALLANDS LÄN</t>
        </is>
      </c>
      <c r="G193" t="inlineStr">
        <is>
          <t>FALKENBERG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46099</v>
      </c>
      <c r="E194" s="1" t="n">
        <v>46281</v>
      </c>
      <c r="F194" t="inlineStr">
        <is>
          <t>HALLANDS LÄN</t>
        </is>
      </c>
      <c r="G194" t="inlineStr">
        <is>
          <t>FALKENBERG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46281</v>
      </c>
      <c r="F195" t="inlineStr">
        <is>
          <t>HALLANDS LÄN</t>
        </is>
      </c>
      <c r="G195" t="inlineStr">
        <is>
          <t>FALKENBERG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46281</v>
      </c>
      <c r="F196" t="inlineStr">
        <is>
          <t>HALLANDS LÄN</t>
        </is>
      </c>
      <c r="G196" t="inlineStr">
        <is>
          <t>FALKENBERG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46281</v>
      </c>
      <c r="F197" t="inlineStr">
        <is>
          <t>HALLANDS LÄN</t>
        </is>
      </c>
      <c r="G197" t="inlineStr">
        <is>
          <t>FALKENBERG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46281</v>
      </c>
      <c r="F198" t="inlineStr">
        <is>
          <t>HALLANDS LÄN</t>
        </is>
      </c>
      <c r="G198" t="inlineStr">
        <is>
          <t>FALKENBERG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46281</v>
      </c>
      <c r="F199" t="inlineStr">
        <is>
          <t>HALLANDS LÄN</t>
        </is>
      </c>
      <c r="G199" t="inlineStr">
        <is>
          <t>FALKENBERG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61546-2022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44916</v>
      </c>
      <c r="E200" s="1" t="n">
        <v>46281</v>
      </c>
      <c r="F200" t="inlineStr">
        <is>
          <t>HALLANDS LÄN</t>
        </is>
      </c>
      <c r="G200" t="inlineStr">
        <is>
          <t>FALKENBERG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44576</v>
      </c>
      <c r="E201" s="1" t="n">
        <v>46281</v>
      </c>
      <c r="F201" t="inlineStr">
        <is>
          <t>HALLANDS LÄN</t>
        </is>
      </c>
      <c r="G201" t="inlineStr">
        <is>
          <t>FALKENBERG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46281</v>
      </c>
      <c r="F202" t="inlineStr">
        <is>
          <t>HALLANDS LÄN</t>
        </is>
      </c>
      <c r="G202" t="inlineStr">
        <is>
          <t>FALKENBERG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42678-2025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46281</v>
      </c>
      <c r="F203" t="inlineStr">
        <is>
          <t>HALLANDS LÄN</t>
        </is>
      </c>
      <c r="G203" t="inlineStr">
        <is>
          <t>FALKENBERG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46281</v>
      </c>
      <c r="F204" t="inlineStr">
        <is>
          <t>HALLANDS LÄN</t>
        </is>
      </c>
      <c r="G204" t="inlineStr">
        <is>
          <t>FALKENBERG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44584</v>
      </c>
      <c r="E205" s="1" t="n">
        <v>46281</v>
      </c>
      <c r="F205" t="inlineStr">
        <is>
          <t>HALLANDS LÄN</t>
        </is>
      </c>
      <c r="G205" t="inlineStr">
        <is>
          <t>FALKENBERG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45914</v>
      </c>
      <c r="E206" s="1" t="n">
        <v>46281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45272</v>
      </c>
      <c r="E207" s="1" t="n">
        <v>46281</v>
      </c>
      <c r="F207" t="inlineStr">
        <is>
          <t>HALLANDS LÄN</t>
        </is>
      </c>
      <c r="G207" t="inlineStr">
        <is>
          <t>FALKENBERG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46281</v>
      </c>
      <c r="F208" t="inlineStr">
        <is>
          <t>HALLANDS LÄN</t>
        </is>
      </c>
      <c r="G208" t="inlineStr">
        <is>
          <t>FALKENBERG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46281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46281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46281</v>
      </c>
      <c r="F211" t="inlineStr">
        <is>
          <t>HALLANDS LÄN</t>
        </is>
      </c>
      <c r="G211" t="inlineStr">
        <is>
          <t>FALKENBERG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46281</v>
      </c>
      <c r="F212" t="inlineStr">
        <is>
          <t>HALLANDS LÄN</t>
        </is>
      </c>
      <c r="G212" t="inlineStr">
        <is>
          <t>FALKENBERG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45219</v>
      </c>
      <c r="E213" s="1" t="n">
        <v>46281</v>
      </c>
      <c r="F213" t="inlineStr">
        <is>
          <t>HALLANDS LÄN</t>
        </is>
      </c>
      <c r="G213" t="inlineStr">
        <is>
          <t>FALKENBERG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46281</v>
      </c>
      <c r="F214" t="inlineStr">
        <is>
          <t>HALLANDS LÄN</t>
        </is>
      </c>
      <c r="G214" t="inlineStr">
        <is>
          <t>FALKENBERG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46281</v>
      </c>
      <c r="F215" t="inlineStr">
        <is>
          <t>HALLANDS LÄN</t>
        </is>
      </c>
      <c r="G215" t="inlineStr">
        <is>
          <t>FALKENBERG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45350</v>
      </c>
      <c r="E216" s="1" t="n">
        <v>46281</v>
      </c>
      <c r="F216" t="inlineStr">
        <is>
          <t>HALLANDS LÄN</t>
        </is>
      </c>
      <c r="G216" t="inlineStr">
        <is>
          <t>FALKENBERG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45552</v>
      </c>
      <c r="E217" s="1" t="n">
        <v>46281</v>
      </c>
      <c r="F217" t="inlineStr">
        <is>
          <t>HALLANDS LÄN</t>
        </is>
      </c>
      <c r="G217" t="inlineStr">
        <is>
          <t>FALKENBERG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45355</v>
      </c>
      <c r="E218" s="1" t="n">
        <v>46281</v>
      </c>
      <c r="F218" t="inlineStr">
        <is>
          <t>HALLANDS LÄN</t>
        </is>
      </c>
      <c r="G218" t="inlineStr">
        <is>
          <t>FALKENBERG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44946</v>
      </c>
      <c r="E219" s="1" t="n">
        <v>46281</v>
      </c>
      <c r="F219" t="inlineStr">
        <is>
          <t>HALLANDS LÄN</t>
        </is>
      </c>
      <c r="G219" t="inlineStr">
        <is>
          <t>FALKENBERG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46281</v>
      </c>
      <c r="F220" t="inlineStr">
        <is>
          <t>HALLANDS LÄN</t>
        </is>
      </c>
      <c r="G220" t="inlineStr">
        <is>
          <t>FALKENBERG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46281</v>
      </c>
      <c r="F221" t="inlineStr">
        <is>
          <t>HALLANDS LÄN</t>
        </is>
      </c>
      <c r="G221" t="inlineStr">
        <is>
          <t>FALKENBERG</t>
        </is>
      </c>
      <c r="H221" t="inlineStr">
        <is>
          <t>Övriga Aktiebolag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46281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46281</v>
      </c>
      <c r="F223" t="inlineStr">
        <is>
          <t>HALLANDS LÄN</t>
        </is>
      </c>
      <c r="G223" t="inlineStr">
        <is>
          <t>FALKENBERG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46281</v>
      </c>
      <c r="F224" t="inlineStr">
        <is>
          <t>HALLANDS LÄN</t>
        </is>
      </c>
      <c r="G224" t="inlineStr">
        <is>
          <t>FALKENBERG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46281</v>
      </c>
      <c r="F225" t="inlineStr">
        <is>
          <t>HALLANDS LÄN</t>
        </is>
      </c>
      <c r="G225" t="inlineStr">
        <is>
          <t>FALKENBERG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45044</v>
      </c>
      <c r="E226" s="1" t="n">
        <v>46281</v>
      </c>
      <c r="F226" t="inlineStr">
        <is>
          <t>HALLANDS LÄN</t>
        </is>
      </c>
      <c r="G226" t="inlineStr">
        <is>
          <t>FALKENBERG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46281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46281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46281</v>
      </c>
      <c r="F229" t="inlineStr">
        <is>
          <t>HALLANDS LÄN</t>
        </is>
      </c>
      <c r="G229" t="inlineStr">
        <is>
          <t>FALKENBERG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46281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46281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46281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44974</v>
      </c>
      <c r="E233" s="1" t="n">
        <v>46281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46281</v>
      </c>
      <c r="F234" t="inlineStr">
        <is>
          <t>HALLANDS LÄN</t>
        </is>
      </c>
      <c r="G234" t="inlineStr">
        <is>
          <t>FALKENBERG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45246</v>
      </c>
      <c r="E235" s="1" t="n">
        <v>46281</v>
      </c>
      <c r="F235" t="inlineStr">
        <is>
          <t>HALLANDS LÄN</t>
        </is>
      </c>
      <c r="G235" t="inlineStr">
        <is>
          <t>FALKENBERG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46281</v>
      </c>
      <c r="F236" t="inlineStr">
        <is>
          <t>HALLANDS LÄN</t>
        </is>
      </c>
      <c r="G236" t="inlineStr">
        <is>
          <t>FALKENBERG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46281</v>
      </c>
      <c r="F237" t="inlineStr">
        <is>
          <t>HALLANDS LÄN</t>
        </is>
      </c>
      <c r="G237" t="inlineStr">
        <is>
          <t>FALKENBERG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46281</v>
      </c>
      <c r="F238" t="inlineStr">
        <is>
          <t>HALLANDS LÄN</t>
        </is>
      </c>
      <c r="G238" t="inlineStr">
        <is>
          <t>FALKENBERG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45575</v>
      </c>
      <c r="E239" s="1" t="n">
        <v>46281</v>
      </c>
      <c r="F239" t="inlineStr">
        <is>
          <t>HALLANDS LÄN</t>
        </is>
      </c>
      <c r="G239" t="inlineStr">
        <is>
          <t>FALKENBERG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45618</v>
      </c>
      <c r="E240" s="1" t="n">
        <v>46281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46281</v>
      </c>
      <c r="F241" t="inlineStr">
        <is>
          <t>HALLANDS LÄN</t>
        </is>
      </c>
      <c r="G241" t="inlineStr">
        <is>
          <t>FALKENBERG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45326</v>
      </c>
      <c r="E242" s="1" t="n">
        <v>46281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46281</v>
      </c>
      <c r="F243" t="inlineStr">
        <is>
          <t>HALLANDS LÄN</t>
        </is>
      </c>
      <c r="G243" t="inlineStr">
        <is>
          <t>FALKENBERG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46281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46281</v>
      </c>
      <c r="F245" t="inlineStr">
        <is>
          <t>HALLANDS LÄN</t>
        </is>
      </c>
      <c r="G245" t="inlineStr">
        <is>
          <t>FALKENBERG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46281</v>
      </c>
      <c r="F246" t="inlineStr">
        <is>
          <t>HALLANDS LÄN</t>
        </is>
      </c>
      <c r="G246" t="inlineStr">
        <is>
          <t>FALKENBERG</t>
        </is>
      </c>
      <c r="H246" t="inlineStr">
        <is>
          <t>Kommuner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44656</v>
      </c>
      <c r="E247" s="1" t="n">
        <v>46281</v>
      </c>
      <c r="F247" t="inlineStr">
        <is>
          <t>HALLANDS LÄN</t>
        </is>
      </c>
      <c r="G247" t="inlineStr">
        <is>
          <t>FALKENBERG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49761-2025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46281</v>
      </c>
      <c r="F248" t="inlineStr">
        <is>
          <t>HALLANDS LÄN</t>
        </is>
      </c>
      <c r="G248" t="inlineStr">
        <is>
          <t>FALKENBERG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44694</v>
      </c>
      <c r="E249" s="1" t="n">
        <v>46281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46281</v>
      </c>
      <c r="F250" t="inlineStr">
        <is>
          <t>HALLANDS LÄN</t>
        </is>
      </c>
      <c r="G250" t="inlineStr">
        <is>
          <t>FALKENBERG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46281</v>
      </c>
      <c r="F251" t="inlineStr">
        <is>
          <t>HALLANDS LÄN</t>
        </is>
      </c>
      <c r="G251" t="inlineStr">
        <is>
          <t>FALKENBERG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46281</v>
      </c>
      <c r="F252" t="inlineStr">
        <is>
          <t>HALLANDS LÄN</t>
        </is>
      </c>
      <c r="G252" t="inlineStr">
        <is>
          <t>FALKENBERG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46281</v>
      </c>
      <c r="F253" t="inlineStr">
        <is>
          <t>HALLANDS LÄN</t>
        </is>
      </c>
      <c r="G253" t="inlineStr">
        <is>
          <t>FALKENBERG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44610</v>
      </c>
      <c r="E254" s="1" t="n">
        <v>46281</v>
      </c>
      <c r="F254" t="inlineStr">
        <is>
          <t>HALLANDS LÄN</t>
        </is>
      </c>
      <c r="G254" t="inlineStr">
        <is>
          <t>FALKENBERG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20543-2023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45055</v>
      </c>
      <c r="E255" s="1" t="n">
        <v>46281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20546-2023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45055</v>
      </c>
      <c r="E256" s="1" t="n">
        <v>46281</v>
      </c>
      <c r="F256" t="inlineStr">
        <is>
          <t>HALLANDS LÄN</t>
        </is>
      </c>
      <c r="G256" t="inlineStr">
        <is>
          <t>FALKENBERG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51535-2025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46281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45575</v>
      </c>
      <c r="E258" s="1" t="n">
        <v>46281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46281</v>
      </c>
      <c r="F259" t="inlineStr">
        <is>
          <t>HALLANDS LÄN</t>
        </is>
      </c>
      <c r="G259" t="inlineStr">
        <is>
          <t>FALKENBERG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45273</v>
      </c>
      <c r="E260" s="1" t="n">
        <v>46281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51668-2025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45951</v>
      </c>
      <c r="E261" s="1" t="n">
        <v>46281</v>
      </c>
      <c r="F261" t="inlineStr">
        <is>
          <t>HALLANDS LÄN</t>
        </is>
      </c>
      <c r="G261" t="inlineStr">
        <is>
          <t>FALKENBERG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46281</v>
      </c>
      <c r="F262" t="inlineStr">
        <is>
          <t>HALLANDS LÄN</t>
        </is>
      </c>
      <c r="G262" t="inlineStr">
        <is>
          <t>FALKENBERG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46281</v>
      </c>
      <c r="F263" t="inlineStr">
        <is>
          <t>HALLANDS LÄN</t>
        </is>
      </c>
      <c r="G263" t="inlineStr">
        <is>
          <t>FALKENBERG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46281</v>
      </c>
      <c r="F264" t="inlineStr">
        <is>
          <t>HALLANDS LÄN</t>
        </is>
      </c>
      <c r="G264" t="inlineStr">
        <is>
          <t>FALKENBERG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46281</v>
      </c>
      <c r="F265" t="inlineStr">
        <is>
          <t>HALLANDS LÄN</t>
        </is>
      </c>
      <c r="G265" t="inlineStr">
        <is>
          <t>FALKENBERG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46281</v>
      </c>
      <c r="F266" t="inlineStr">
        <is>
          <t>HALLANDS LÄN</t>
        </is>
      </c>
      <c r="G266" t="inlineStr">
        <is>
          <t>FALKENBERG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46281</v>
      </c>
      <c r="F267" t="inlineStr">
        <is>
          <t>HALLANDS LÄN</t>
        </is>
      </c>
      <c r="G267" t="inlineStr">
        <is>
          <t>FALKENBERG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46281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46281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46281</v>
      </c>
      <c r="F270" t="inlineStr">
        <is>
          <t>HALLANDS LÄN</t>
        </is>
      </c>
      <c r="G270" t="inlineStr">
        <is>
          <t>FALKENBERG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45856</v>
      </c>
      <c r="E271" s="1" t="n">
        <v>46281</v>
      </c>
      <c r="F271" t="inlineStr">
        <is>
          <t>HALLANDS LÄN</t>
        </is>
      </c>
      <c r="G271" t="inlineStr">
        <is>
          <t>FALKENBERG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46281</v>
      </c>
      <c r="F272" t="inlineStr">
        <is>
          <t>HALLANDS LÄN</t>
        </is>
      </c>
      <c r="G272" t="inlineStr">
        <is>
          <t>FALKENBERG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44627</v>
      </c>
      <c r="E273" s="1" t="n">
        <v>46281</v>
      </c>
      <c r="F273" t="inlineStr">
        <is>
          <t>HALLANDS LÄN</t>
        </is>
      </c>
      <c r="G273" t="inlineStr">
        <is>
          <t>FALKENBERG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46281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46281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46281</v>
      </c>
      <c r="F276" t="inlineStr">
        <is>
          <t>HALLANDS LÄN</t>
        </is>
      </c>
      <c r="G276" t="inlineStr">
        <is>
          <t>FALKENBERG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46281</v>
      </c>
      <c r="F277" t="inlineStr">
        <is>
          <t>HALLANDS LÄN</t>
        </is>
      </c>
      <c r="G277" t="inlineStr">
        <is>
          <t>FALKENBERG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46281</v>
      </c>
      <c r="F278" t="inlineStr">
        <is>
          <t>HALLANDS LÄN</t>
        </is>
      </c>
      <c r="G278" t="inlineStr">
        <is>
          <t>FALKENBERG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46281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46281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46281</v>
      </c>
      <c r="F281" t="inlineStr">
        <is>
          <t>HALLANDS LÄN</t>
        </is>
      </c>
      <c r="G281" t="inlineStr">
        <is>
          <t>FALKENBERG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45811</v>
      </c>
      <c r="E282" s="1" t="n">
        <v>46281</v>
      </c>
      <c r="F282" t="inlineStr">
        <is>
          <t>HALLANDS LÄN</t>
        </is>
      </c>
      <c r="G282" t="inlineStr">
        <is>
          <t>FALKENBERG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46281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53801-2025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45960</v>
      </c>
      <c r="E284" s="1" t="n">
        <v>46281</v>
      </c>
      <c r="F284" t="inlineStr">
        <is>
          <t>HALLANDS LÄN</t>
        </is>
      </c>
      <c r="G284" t="inlineStr">
        <is>
          <t>FALKENBERG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46281</v>
      </c>
      <c r="F285" t="inlineStr">
        <is>
          <t>HALLANDS LÄN</t>
        </is>
      </c>
      <c r="G285" t="inlineStr">
        <is>
          <t>FALKENBERG</t>
        </is>
      </c>
      <c r="H285" t="inlineStr">
        <is>
          <t>Bergvik skog väst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46281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45714</v>
      </c>
      <c r="E287" s="1" t="n">
        <v>46281</v>
      </c>
      <c r="F287" t="inlineStr">
        <is>
          <t>HALLANDS LÄN</t>
        </is>
      </c>
      <c r="G287" t="inlineStr">
        <is>
          <t>FALKENBERG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46281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46281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46281</v>
      </c>
      <c r="F290" t="inlineStr">
        <is>
          <t>HALLANDS LÄN</t>
        </is>
      </c>
      <c r="G290" t="inlineStr">
        <is>
          <t>FALKENBERG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46281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46281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46281</v>
      </c>
      <c r="F293" t="inlineStr">
        <is>
          <t>HALLANDS LÄN</t>
        </is>
      </c>
      <c r="G293" t="inlineStr">
        <is>
          <t>FALKENBERG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46281</v>
      </c>
      <c r="F294" t="inlineStr">
        <is>
          <t>HALLANDS LÄN</t>
        </is>
      </c>
      <c r="G294" t="inlineStr">
        <is>
          <t>FALKENBERG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46281</v>
      </c>
      <c r="F295" t="inlineStr">
        <is>
          <t>HALLANDS LÄN</t>
        </is>
      </c>
      <c r="G295" t="inlineStr">
        <is>
          <t>FALKENBERG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46281</v>
      </c>
      <c r="F296" t="inlineStr">
        <is>
          <t>HALLANDS LÄN</t>
        </is>
      </c>
      <c r="G296" t="inlineStr">
        <is>
          <t>FALKENBERG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46281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46281</v>
      </c>
      <c r="F298" t="inlineStr">
        <is>
          <t>HALLANDS LÄN</t>
        </is>
      </c>
      <c r="G298" t="inlineStr">
        <is>
          <t>FALKENBERG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55141-2025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45968</v>
      </c>
      <c r="E299" s="1" t="n">
        <v>46281</v>
      </c>
      <c r="F299" t="inlineStr">
        <is>
          <t>HALLANDS LÄN</t>
        </is>
      </c>
      <c r="G299" t="inlineStr">
        <is>
          <t>FALKENBERG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55107-2025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45968</v>
      </c>
      <c r="E300" s="1" t="n">
        <v>46281</v>
      </c>
      <c r="F300" t="inlineStr">
        <is>
          <t>HALLANDS LÄN</t>
        </is>
      </c>
      <c r="G300" t="inlineStr">
        <is>
          <t>FALKENBERG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44946</v>
      </c>
      <c r="E301" s="1" t="n">
        <v>46281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46281</v>
      </c>
      <c r="F302" t="inlineStr">
        <is>
          <t>HALLANDS LÄN</t>
        </is>
      </c>
      <c r="G302" t="inlineStr">
        <is>
          <t>FALKENBERG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46281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46281</v>
      </c>
      <c r="F304" t="inlineStr">
        <is>
          <t>HALLANDS LÄN</t>
        </is>
      </c>
      <c r="G304" t="inlineStr">
        <is>
          <t>FALKENBERG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46281</v>
      </c>
      <c r="F305" t="inlineStr">
        <is>
          <t>HALLANDS LÄN</t>
        </is>
      </c>
      <c r="G305" t="inlineStr">
        <is>
          <t>FALKENBERG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46281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55270-2022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44887</v>
      </c>
      <c r="E307" s="1" t="n">
        <v>46281</v>
      </c>
      <c r="F307" t="inlineStr">
        <is>
          <t>HALLANDS LÄN</t>
        </is>
      </c>
      <c r="G307" t="inlineStr">
        <is>
          <t>FALKENBERG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45667</v>
      </c>
      <c r="E308" s="1" t="n">
        <v>46281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46281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46281</v>
      </c>
      <c r="F310" t="inlineStr">
        <is>
          <t>HALLANDS LÄN</t>
        </is>
      </c>
      <c r="G310" t="inlineStr">
        <is>
          <t>FALKENBERG</t>
        </is>
      </c>
      <c r="H310" t="inlineStr">
        <is>
          <t>Kyrkan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46281</v>
      </c>
      <c r="F311" t="inlineStr">
        <is>
          <t>HALLANDS LÄN</t>
        </is>
      </c>
      <c r="G311" t="inlineStr">
        <is>
          <t>FALKENBERG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46281</v>
      </c>
      <c r="F312" t="inlineStr">
        <is>
          <t>HALLANDS LÄN</t>
        </is>
      </c>
      <c r="G312" t="inlineStr">
        <is>
          <t>FALKENBERG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46281</v>
      </c>
      <c r="F313" t="inlineStr">
        <is>
          <t>HALLANDS LÄN</t>
        </is>
      </c>
      <c r="G313" t="inlineStr">
        <is>
          <t>FALKENBERG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44692</v>
      </c>
      <c r="E314" s="1" t="n">
        <v>46281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41702-2024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46281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46281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46281</v>
      </c>
      <c r="F317" t="inlineStr">
        <is>
          <t>HALLANDS LÄN</t>
        </is>
      </c>
      <c r="G317" t="inlineStr">
        <is>
          <t>FALKENBERG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45211</v>
      </c>
      <c r="E318" s="1" t="n">
        <v>46281</v>
      </c>
      <c r="F318" t="inlineStr">
        <is>
          <t>HALLANDS LÄN</t>
        </is>
      </c>
      <c r="G318" t="inlineStr">
        <is>
          <t>FALKENBERG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46281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46281</v>
      </c>
      <c r="F320" t="inlineStr">
        <is>
          <t>HALLANDS LÄN</t>
        </is>
      </c>
      <c r="G320" t="inlineStr">
        <is>
          <t>FALKENBERG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46281</v>
      </c>
      <c r="F321" t="inlineStr">
        <is>
          <t>HALLANDS LÄN</t>
        </is>
      </c>
      <c r="G321" t="inlineStr">
        <is>
          <t>FALKENBERG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46281</v>
      </c>
      <c r="F322" t="inlineStr">
        <is>
          <t>HALLANDS LÄN</t>
        </is>
      </c>
      <c r="G322" t="inlineStr">
        <is>
          <t>FALKENBERG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44977</v>
      </c>
      <c r="E323" s="1" t="n">
        <v>46281</v>
      </c>
      <c r="F323" t="inlineStr">
        <is>
          <t>HALLANDS LÄN</t>
        </is>
      </c>
      <c r="G323" t="inlineStr">
        <is>
          <t>FALKENBERG</t>
        </is>
      </c>
      <c r="H323" t="inlineStr">
        <is>
          <t>Bergvik skog väst AB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45580</v>
      </c>
      <c r="E324" s="1" t="n">
        <v>46281</v>
      </c>
      <c r="F324" t="inlineStr">
        <is>
          <t>HALLANDS LÄN</t>
        </is>
      </c>
      <c r="G324" t="inlineStr">
        <is>
          <t>FALKENBERG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45345</v>
      </c>
      <c r="E325" s="1" t="n">
        <v>46281</v>
      </c>
      <c r="F325" t="inlineStr">
        <is>
          <t>HALLANDS LÄN</t>
        </is>
      </c>
      <c r="G325" t="inlineStr">
        <is>
          <t>FALKENBERG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46281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46281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46281</v>
      </c>
      <c r="F328" t="inlineStr">
        <is>
          <t>HALLANDS LÄN</t>
        </is>
      </c>
      <c r="G328" t="inlineStr">
        <is>
          <t>FALKENBERG</t>
        </is>
      </c>
      <c r="H328" t="inlineStr">
        <is>
          <t>Kyrkan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46281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46281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46281</v>
      </c>
      <c r="F331" t="inlineStr">
        <is>
          <t>HALLANDS LÄN</t>
        </is>
      </c>
      <c r="G331" t="inlineStr">
        <is>
          <t>FALKENBERG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46281</v>
      </c>
      <c r="F332" t="inlineStr">
        <is>
          <t>HALLANDS LÄN</t>
        </is>
      </c>
      <c r="G332" t="inlineStr">
        <is>
          <t>FALKENBERG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46281</v>
      </c>
      <c r="F333" t="inlineStr">
        <is>
          <t>HALLANDS LÄN</t>
        </is>
      </c>
      <c r="G333" t="inlineStr">
        <is>
          <t>FALKENBERG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44946</v>
      </c>
      <c r="E334" s="1" t="n">
        <v>46281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46281</v>
      </c>
      <c r="F335" t="inlineStr">
        <is>
          <t>HALLANDS LÄN</t>
        </is>
      </c>
      <c r="G335" t="inlineStr">
        <is>
          <t>FALKENBERG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46281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8892-2024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46281</v>
      </c>
      <c r="F337" t="inlineStr">
        <is>
          <t>HALLANDS LÄN</t>
        </is>
      </c>
      <c r="G337" t="inlineStr">
        <is>
          <t>FALKENBERG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46281</v>
      </c>
      <c r="F338" t="inlineStr">
        <is>
          <t>HALLANDS LÄN</t>
        </is>
      </c>
      <c r="G338" t="inlineStr">
        <is>
          <t>FALKENBERG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21008-2026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46142</v>
      </c>
      <c r="E339" s="1" t="n">
        <v>46281</v>
      </c>
      <c r="F339" t="inlineStr">
        <is>
          <t>HALLANDS LÄN</t>
        </is>
      </c>
      <c r="G339" t="inlineStr">
        <is>
          <t>FALKENBERG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46281</v>
      </c>
      <c r="F340" t="inlineStr">
        <is>
          <t>HALLANDS LÄN</t>
        </is>
      </c>
      <c r="G340" t="inlineStr">
        <is>
          <t>FALKENBERG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44974</v>
      </c>
      <c r="E341" s="1" t="n">
        <v>46281</v>
      </c>
      <c r="F341" t="inlineStr">
        <is>
          <t>HALLANDS LÄN</t>
        </is>
      </c>
      <c r="G341" t="inlineStr">
        <is>
          <t>FALKENBERG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45152</v>
      </c>
      <c r="E342" s="1" t="n">
        <v>46281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10237-2023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44986</v>
      </c>
      <c r="E343" s="1" t="n">
        <v>46281</v>
      </c>
      <c r="F343" t="inlineStr">
        <is>
          <t>HALLANDS LÄN</t>
        </is>
      </c>
      <c r="G343" t="inlineStr">
        <is>
          <t>FALKENBERG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46281</v>
      </c>
      <c r="F344" t="inlineStr">
        <is>
          <t>HALLANDS LÄN</t>
        </is>
      </c>
      <c r="G344" t="inlineStr">
        <is>
          <t>FALKENBERG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45174</v>
      </c>
      <c r="E345" s="1" t="n">
        <v>46281</v>
      </c>
      <c r="F345" t="inlineStr">
        <is>
          <t>HALLANDS LÄN</t>
        </is>
      </c>
      <c r="G345" t="inlineStr">
        <is>
          <t>FALKENBERG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46281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46281</v>
      </c>
      <c r="F347" t="inlineStr">
        <is>
          <t>HALLANDS LÄN</t>
        </is>
      </c>
      <c r="G347" t="inlineStr">
        <is>
          <t>FALKENBERG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46281</v>
      </c>
      <c r="F348" t="inlineStr">
        <is>
          <t>HALLANDS LÄN</t>
        </is>
      </c>
      <c r="G348" t="inlineStr">
        <is>
          <t>FALKENBERG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66135-2021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44517</v>
      </c>
      <c r="E349" s="1" t="n">
        <v>46281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46281</v>
      </c>
      <c r="F350" t="inlineStr">
        <is>
          <t>HALLANDS LÄN</t>
        </is>
      </c>
      <c r="G350" t="inlineStr">
        <is>
          <t>FALKENBERG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44040-2023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46281</v>
      </c>
      <c r="F351" t="inlineStr">
        <is>
          <t>HALLANDS LÄN</t>
        </is>
      </c>
      <c r="G351" t="inlineStr">
        <is>
          <t>FALKENBERG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46281</v>
      </c>
      <c r="F352" t="inlineStr">
        <is>
          <t>HALLANDS LÄN</t>
        </is>
      </c>
      <c r="G352" t="inlineStr">
        <is>
          <t>FALKENBERG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47021-2022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44852</v>
      </c>
      <c r="E353" s="1" t="n">
        <v>46281</v>
      </c>
      <c r="F353" t="inlineStr">
        <is>
          <t>HALLANDS LÄN</t>
        </is>
      </c>
      <c r="G353" t="inlineStr">
        <is>
          <t>FALKENBERG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20044-2025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45772</v>
      </c>
      <c r="E354" s="1" t="n">
        <v>46281</v>
      </c>
      <c r="F354" t="inlineStr">
        <is>
          <t>HALLANDS LÄN</t>
        </is>
      </c>
      <c r="G354" t="inlineStr">
        <is>
          <t>FALKENBERG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67454-2021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44524</v>
      </c>
      <c r="E355" s="1" t="n">
        <v>46281</v>
      </c>
      <c r="F355" t="inlineStr">
        <is>
          <t>HALLANDS LÄN</t>
        </is>
      </c>
      <c r="G355" t="inlineStr">
        <is>
          <t>FALKENBERG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45714</v>
      </c>
      <c r="E356" s="1" t="n">
        <v>46281</v>
      </c>
      <c r="F356" t="inlineStr">
        <is>
          <t>HALLANDS LÄN</t>
        </is>
      </c>
      <c r="G356" t="inlineStr">
        <is>
          <t>FALKENBERG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46281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46281</v>
      </c>
      <c r="F358" t="inlineStr">
        <is>
          <t>HALLANDS LÄN</t>
        </is>
      </c>
      <c r="G358" t="inlineStr">
        <is>
          <t>FALKENBERG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46006</v>
      </c>
      <c r="E359" s="1" t="n">
        <v>46281</v>
      </c>
      <c r="F359" t="inlineStr">
        <is>
          <t>HALLANDS LÄN</t>
        </is>
      </c>
      <c r="G359" t="inlineStr">
        <is>
          <t>FALKENBERG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46004</v>
      </c>
      <c r="E360" s="1" t="n">
        <v>46281</v>
      </c>
      <c r="F360" t="inlineStr">
        <is>
          <t>HALLANDS LÄN</t>
        </is>
      </c>
      <c r="G360" t="inlineStr">
        <is>
          <t>FALKENBERG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46281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45391</v>
      </c>
      <c r="E362" s="1" t="n">
        <v>46281</v>
      </c>
      <c r="F362" t="inlineStr">
        <is>
          <t>HALLANDS LÄN</t>
        </is>
      </c>
      <c r="G362" t="inlineStr">
        <is>
          <t>FALKENBERG</t>
        </is>
      </c>
      <c r="I362" t="n">
        <v>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45751</v>
      </c>
      <c r="E363" s="1" t="n">
        <v>46281</v>
      </c>
      <c r="F363" t="inlineStr">
        <is>
          <t>HALLANDS LÄN</t>
        </is>
      </c>
      <c r="G363" t="inlineStr">
        <is>
          <t>FALKENBERG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46281</v>
      </c>
      <c r="F364" t="inlineStr">
        <is>
          <t>HALLANDS LÄN</t>
        </is>
      </c>
      <c r="G364" t="inlineStr">
        <is>
          <t>FALKENBERG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44827</v>
      </c>
      <c r="E365" s="1" t="n">
        <v>46281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58533-2024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45635</v>
      </c>
      <c r="E366" s="1" t="n">
        <v>46281</v>
      </c>
      <c r="F366" t="inlineStr">
        <is>
          <t>HALLANDS LÄN</t>
        </is>
      </c>
      <c r="G366" t="inlineStr">
        <is>
          <t>FALKENBERG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45381</v>
      </c>
      <c r="E367" s="1" t="n">
        <v>46281</v>
      </c>
      <c r="F367" t="inlineStr">
        <is>
          <t>HALLANDS LÄN</t>
        </is>
      </c>
      <c r="G367" t="inlineStr">
        <is>
          <t>FALKENBERG</t>
        </is>
      </c>
      <c r="I367" t="n">
        <v>14.4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48200-2025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45933</v>
      </c>
      <c r="E368" s="1" t="n">
        <v>46281</v>
      </c>
      <c r="F368" t="inlineStr">
        <is>
          <t>HALLANDS LÄN</t>
        </is>
      </c>
      <c r="G368" t="inlineStr">
        <is>
          <t>FALKENBERG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45384</v>
      </c>
      <c r="E369" s="1" t="n">
        <v>46281</v>
      </c>
      <c r="F369" t="inlineStr">
        <is>
          <t>HALLANDS LÄN</t>
        </is>
      </c>
      <c r="G369" t="inlineStr">
        <is>
          <t>FALKENBERG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46281</v>
      </c>
      <c r="F370" t="inlineStr">
        <is>
          <t>HALLANDS LÄN</t>
        </is>
      </c>
      <c r="G370" t="inlineStr">
        <is>
          <t>FALKENBERG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46281</v>
      </c>
      <c r="F371" t="inlineStr">
        <is>
          <t>HALLANDS LÄN</t>
        </is>
      </c>
      <c r="G371" t="inlineStr">
        <is>
          <t>FALKENBERG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45205</v>
      </c>
      <c r="E372" s="1" t="n">
        <v>46281</v>
      </c>
      <c r="F372" t="inlineStr">
        <is>
          <t>HALLANDS LÄN</t>
        </is>
      </c>
      <c r="G372" t="inlineStr">
        <is>
          <t>FALKENBERG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46281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46281</v>
      </c>
      <c r="F374" t="inlineStr">
        <is>
          <t>HALLANDS LÄN</t>
        </is>
      </c>
      <c r="G374" t="inlineStr">
        <is>
          <t>FALKENBERG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46281</v>
      </c>
      <c r="F375" t="inlineStr">
        <is>
          <t>HALLANDS LÄN</t>
        </is>
      </c>
      <c r="G375" t="inlineStr">
        <is>
          <t>FALKENBERG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46281</v>
      </c>
      <c r="F376" t="inlineStr">
        <is>
          <t>HALLANDS LÄN</t>
        </is>
      </c>
      <c r="G376" t="inlineStr">
        <is>
          <t>FALKENBERG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23666-2026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46164</v>
      </c>
      <c r="E377" s="1" t="n">
        <v>46281</v>
      </c>
      <c r="F377" t="inlineStr">
        <is>
          <t>HALLANDS LÄN</t>
        </is>
      </c>
      <c r="G377" t="inlineStr">
        <is>
          <t>FALKENBERG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44740</v>
      </c>
      <c r="E378" s="1" t="n">
        <v>46281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26887-2022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44740</v>
      </c>
      <c r="E379" s="1" t="n">
        <v>46281</v>
      </c>
      <c r="F379" t="inlineStr">
        <is>
          <t>HALLANDS LÄN</t>
        </is>
      </c>
      <c r="G379" t="inlineStr">
        <is>
          <t>FALKENBERG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45363</v>
      </c>
      <c r="E380" s="1" t="n">
        <v>46281</v>
      </c>
      <c r="F380" t="inlineStr">
        <is>
          <t>HALLANDS LÄN</t>
        </is>
      </c>
      <c r="G380" t="inlineStr">
        <is>
          <t>FALKENBERG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46281</v>
      </c>
      <c r="F381" t="inlineStr">
        <is>
          <t>HALLANDS LÄN</t>
        </is>
      </c>
      <c r="G381" t="inlineStr">
        <is>
          <t>FALKENBERG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46281</v>
      </c>
      <c r="F382" t="inlineStr">
        <is>
          <t>HALLANDS LÄN</t>
        </is>
      </c>
      <c r="G382" t="inlineStr">
        <is>
          <t>FALKENBERG</t>
        </is>
      </c>
      <c r="I382" t="n">
        <v>8.199999999999999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45566</v>
      </c>
      <c r="E383" s="1" t="n">
        <v>46281</v>
      </c>
      <c r="F383" t="inlineStr">
        <is>
          <t>HALLANDS LÄN</t>
        </is>
      </c>
      <c r="G383" t="inlineStr">
        <is>
          <t>FALKENBERG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45245</v>
      </c>
      <c r="E384" s="1" t="n">
        <v>46281</v>
      </c>
      <c r="F384" t="inlineStr">
        <is>
          <t>HALLANDS LÄN</t>
        </is>
      </c>
      <c r="G384" t="inlineStr">
        <is>
          <t>FALKENBERG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46281</v>
      </c>
      <c r="F385" t="inlineStr">
        <is>
          <t>HALLANDS LÄN</t>
        </is>
      </c>
      <c r="G385" t="inlineStr">
        <is>
          <t>FALKENBERG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60239-2022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46281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46281</v>
      </c>
      <c r="F387" t="inlineStr">
        <is>
          <t>HALLANDS LÄN</t>
        </is>
      </c>
      <c r="G387" t="inlineStr">
        <is>
          <t>FALKENBERG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23708-2026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46164</v>
      </c>
      <c r="E388" s="1" t="n">
        <v>46281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17450-2023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45036</v>
      </c>
      <c r="E389" s="1" t="n">
        <v>46281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46281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45735</v>
      </c>
      <c r="E391" s="1" t="n">
        <v>46281</v>
      </c>
      <c r="F391" t="inlineStr">
        <is>
          <t>HALLANDS LÄN</t>
        </is>
      </c>
      <c r="G391" t="inlineStr">
        <is>
          <t>FALKENBERG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45700-2025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45923</v>
      </c>
      <c r="E392" s="1" t="n">
        <v>46281</v>
      </c>
      <c r="F392" t="inlineStr">
        <is>
          <t>HALLANDS LÄN</t>
        </is>
      </c>
      <c r="G392" t="inlineStr">
        <is>
          <t>FALKENBERG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46166</v>
      </c>
      <c r="E393" s="1" t="n">
        <v>46281</v>
      </c>
      <c r="F393" t="inlineStr">
        <is>
          <t>HALLANDS LÄN</t>
        </is>
      </c>
      <c r="G393" t="inlineStr">
        <is>
          <t>FALKENBERG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46281</v>
      </c>
      <c r="F394" t="inlineStr">
        <is>
          <t>HALLANDS LÄN</t>
        </is>
      </c>
      <c r="G394" t="inlineStr">
        <is>
          <t>FALKENBERG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46281</v>
      </c>
      <c r="F395" t="inlineStr">
        <is>
          <t>HALLANDS LÄN</t>
        </is>
      </c>
      <c r="G395" t="inlineStr">
        <is>
          <t>FALKENBERG</t>
        </is>
      </c>
      <c r="H395" t="inlineStr">
        <is>
          <t>Naturvårdsverket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56925-2024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46281</v>
      </c>
      <c r="F396" t="inlineStr">
        <is>
          <t>HALLANDS LÄN</t>
        </is>
      </c>
      <c r="G396" t="inlineStr">
        <is>
          <t>FALKENBERG</t>
        </is>
      </c>
      <c r="H396" t="inlineStr">
        <is>
          <t>Kommuner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46281</v>
      </c>
      <c r="F397" t="inlineStr">
        <is>
          <t>HALLANDS LÄN</t>
        </is>
      </c>
      <c r="G397" t="inlineStr">
        <is>
          <t>FALKENBERG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44574</v>
      </c>
      <c r="E398" s="1" t="n">
        <v>46281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46281</v>
      </c>
      <c r="F399" t="inlineStr">
        <is>
          <t>HALLANDS LÄN</t>
        </is>
      </c>
      <c r="G399" t="inlineStr">
        <is>
          <t>FALKENBERG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54170-2023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45232</v>
      </c>
      <c r="E400" s="1" t="n">
        <v>46281</v>
      </c>
      <c r="F400" t="inlineStr">
        <is>
          <t>HALLANDS LÄN</t>
        </is>
      </c>
      <c r="G400" t="inlineStr">
        <is>
          <t>FALKENBERG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45435</v>
      </c>
      <c r="E401" s="1" t="n">
        <v>46281</v>
      </c>
      <c r="F401" t="inlineStr">
        <is>
          <t>HALLANDS LÄN</t>
        </is>
      </c>
      <c r="G401" t="inlineStr">
        <is>
          <t>FALKENBERG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44893</v>
      </c>
      <c r="E402" s="1" t="n">
        <v>46281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44984</v>
      </c>
      <c r="E403" s="1" t="n">
        <v>46281</v>
      </c>
      <c r="F403" t="inlineStr">
        <is>
          <t>HALLANDS LÄN</t>
        </is>
      </c>
      <c r="G403" t="inlineStr">
        <is>
          <t>FALKENBERG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46281</v>
      </c>
      <c r="F404" t="inlineStr">
        <is>
          <t>HALLANDS LÄN</t>
        </is>
      </c>
      <c r="G404" t="inlineStr">
        <is>
          <t>FALKENBERG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46281</v>
      </c>
      <c r="F405" t="inlineStr">
        <is>
          <t>HALLANDS LÄN</t>
        </is>
      </c>
      <c r="G405" t="inlineStr">
        <is>
          <t>FALKENBERG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46041</v>
      </c>
      <c r="E406" s="1" t="n">
        <v>46281</v>
      </c>
      <c r="F406" t="inlineStr">
        <is>
          <t>HALLANDS LÄN</t>
        </is>
      </c>
      <c r="G406" t="inlineStr">
        <is>
          <t>FALKENBERG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46172</v>
      </c>
      <c r="E407" s="1" t="n">
        <v>46281</v>
      </c>
      <c r="F407" t="inlineStr">
        <is>
          <t>HALLANDS LÄN</t>
        </is>
      </c>
      <c r="G407" t="inlineStr">
        <is>
          <t>FALKENBERG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45435</v>
      </c>
      <c r="E408" s="1" t="n">
        <v>46281</v>
      </c>
      <c r="F408" t="inlineStr">
        <is>
          <t>HALLANDS LÄN</t>
        </is>
      </c>
      <c r="G408" t="inlineStr">
        <is>
          <t>FALKENBERG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46281</v>
      </c>
      <c r="F409" t="inlineStr">
        <is>
          <t>HALLANDS LÄN</t>
        </is>
      </c>
      <c r="G409" t="inlineStr">
        <is>
          <t>FALKENBERG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45751</v>
      </c>
      <c r="E410" s="1" t="n">
        <v>46281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46281</v>
      </c>
      <c r="F411" t="inlineStr">
        <is>
          <t>HALLANDS LÄN</t>
        </is>
      </c>
      <c r="G411" t="inlineStr">
        <is>
          <t>FALKENBERG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46281</v>
      </c>
      <c r="F412" t="inlineStr">
        <is>
          <t>HALLANDS LÄN</t>
        </is>
      </c>
      <c r="G412" t="inlineStr">
        <is>
          <t>FALKENBERG</t>
        </is>
      </c>
      <c r="I412" t="n">
        <v>10.8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46281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44882</v>
      </c>
      <c r="E414" s="1" t="n">
        <v>46281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62534-2025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46007</v>
      </c>
      <c r="E415" s="1" t="n">
        <v>46281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46281</v>
      </c>
      <c r="F416" t="inlineStr">
        <is>
          <t>HALLANDS LÄN</t>
        </is>
      </c>
      <c r="G416" t="inlineStr">
        <is>
          <t>FALKENBERG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53939-2021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44469</v>
      </c>
      <c r="E417" s="1" t="n">
        <v>46281</v>
      </c>
      <c r="F417" t="inlineStr">
        <is>
          <t>HALLANDS LÄN</t>
        </is>
      </c>
      <c r="G417" t="inlineStr">
        <is>
          <t>FALKENBERG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46281</v>
      </c>
      <c r="F418" t="inlineStr">
        <is>
          <t>HALLANDS LÄN</t>
        </is>
      </c>
      <c r="G418" t="inlineStr">
        <is>
          <t>FALKENBERG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46281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44957</v>
      </c>
      <c r="E420" s="1" t="n">
        <v>46281</v>
      </c>
      <c r="F420" t="inlineStr">
        <is>
          <t>HALLANDS LÄN</t>
        </is>
      </c>
      <c r="G420" t="inlineStr">
        <is>
          <t>FALKENBERG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46281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54606-2025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45966</v>
      </c>
      <c r="E422" s="1" t="n">
        <v>46281</v>
      </c>
      <c r="F422" t="inlineStr">
        <is>
          <t>HALLANDS LÄN</t>
        </is>
      </c>
      <c r="G422" t="inlineStr">
        <is>
          <t>FALKENBERG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46281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70848-2021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44538</v>
      </c>
      <c r="E424" s="1" t="n">
        <v>46281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46281</v>
      </c>
      <c r="F425" t="inlineStr">
        <is>
          <t>HALLANDS LÄN</t>
        </is>
      </c>
      <c r="G425" t="inlineStr">
        <is>
          <t>FALKENBERG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46281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46281</v>
      </c>
      <c r="F427" t="inlineStr">
        <is>
          <t>HALLANDS LÄN</t>
        </is>
      </c>
      <c r="G427" t="inlineStr">
        <is>
          <t>FALKENBERG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46281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46281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64404-2023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45280</v>
      </c>
      <c r="E430" s="1" t="n">
        <v>46281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72470-2021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46281</v>
      </c>
      <c r="F431" t="inlineStr">
        <is>
          <t>HALLANDS LÄN</t>
        </is>
      </c>
      <c r="G431" t="inlineStr">
        <is>
          <t>FALKENBERG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46281</v>
      </c>
      <c r="F432" t="inlineStr">
        <is>
          <t>HALLANDS LÄN</t>
        </is>
      </c>
      <c r="G432" t="inlineStr">
        <is>
          <t>FALKENBERG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49889-2024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46281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45117</v>
      </c>
      <c r="E434" s="1" t="n">
        <v>46281</v>
      </c>
      <c r="F434" t="inlineStr">
        <is>
          <t>HALLANDS LÄN</t>
        </is>
      </c>
      <c r="G434" t="inlineStr">
        <is>
          <t>FALKENBERG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46281</v>
      </c>
      <c r="F435" t="inlineStr">
        <is>
          <t>HALLANDS LÄN</t>
        </is>
      </c>
      <c r="G435" t="inlineStr">
        <is>
          <t>FALKENBERG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46281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46281</v>
      </c>
      <c r="F437" t="inlineStr">
        <is>
          <t>HALLANDS LÄN</t>
        </is>
      </c>
      <c r="G437" t="inlineStr">
        <is>
          <t>FALKENBERG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12470-2023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44999</v>
      </c>
      <c r="E438" s="1" t="n">
        <v>46281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45131</v>
      </c>
      <c r="E439" s="1" t="n">
        <v>46281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26770-2026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46281</v>
      </c>
      <c r="F440" t="inlineStr">
        <is>
          <t>HALLANDS LÄN</t>
        </is>
      </c>
      <c r="G440" t="inlineStr">
        <is>
          <t>FALKENBERG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34969-2023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45142</v>
      </c>
      <c r="E441" s="1" t="n">
        <v>46281</v>
      </c>
      <c r="F441" t="inlineStr">
        <is>
          <t>HALLANDS LÄN</t>
        </is>
      </c>
      <c r="G441" t="inlineStr">
        <is>
          <t>FALKENBERG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55878-2023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45239</v>
      </c>
      <c r="E442" s="1" t="n">
        <v>46281</v>
      </c>
      <c r="F442" t="inlineStr">
        <is>
          <t>HALLANDS LÄN</t>
        </is>
      </c>
      <c r="G442" t="inlineStr">
        <is>
          <t>FALKENBERG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45425</v>
      </c>
      <c r="E443" s="1" t="n">
        <v>46281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27436-2024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46281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67744-2021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44525</v>
      </c>
      <c r="E445" s="1" t="n">
        <v>46281</v>
      </c>
      <c r="F445" t="inlineStr">
        <is>
          <t>HALLANDS LÄN</t>
        </is>
      </c>
      <c r="G445" t="inlineStr">
        <is>
          <t>FALKENBERG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71844-2021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44543</v>
      </c>
      <c r="E446" s="1" t="n">
        <v>46281</v>
      </c>
      <c r="F446" t="inlineStr">
        <is>
          <t>HALLANDS LÄN</t>
        </is>
      </c>
      <c r="G446" t="inlineStr">
        <is>
          <t>FALKENBERG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45019</v>
      </c>
      <c r="E447" s="1" t="n">
        <v>46281</v>
      </c>
      <c r="F447" t="inlineStr">
        <is>
          <t>HALLANDS LÄN</t>
        </is>
      </c>
      <c r="G447" t="inlineStr">
        <is>
          <t>FALKENBERG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46281</v>
      </c>
      <c r="F448" t="inlineStr">
        <is>
          <t>HALLANDS LÄN</t>
        </is>
      </c>
      <c r="G448" t="inlineStr">
        <is>
          <t>FALKENBERG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38462-2024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45546</v>
      </c>
      <c r="E449" s="1" t="n">
        <v>46281</v>
      </c>
      <c r="F449" t="inlineStr">
        <is>
          <t>HALLANDS LÄN</t>
        </is>
      </c>
      <c r="G449" t="inlineStr">
        <is>
          <t>FALKENBERG</t>
        </is>
      </c>
      <c r="H449" t="inlineStr">
        <is>
          <t>Kyrkan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46281</v>
      </c>
      <c r="F450" t="inlineStr">
        <is>
          <t>HALLANDS LÄN</t>
        </is>
      </c>
      <c r="G450" t="inlineStr">
        <is>
          <t>FALKENBERG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45138</v>
      </c>
      <c r="E451" s="1" t="n">
        <v>46281</v>
      </c>
      <c r="F451" t="inlineStr">
        <is>
          <t>HALLANDS LÄN</t>
        </is>
      </c>
      <c r="G451" t="inlineStr">
        <is>
          <t>FALKENBERG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45252</v>
      </c>
      <c r="E452" s="1" t="n">
        <v>46281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46281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45323</v>
      </c>
      <c r="E454" s="1" t="n">
        <v>46281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45624</v>
      </c>
      <c r="E455" s="1" t="n">
        <v>46281</v>
      </c>
      <c r="F455" t="inlineStr">
        <is>
          <t>HALLANDS LÄN</t>
        </is>
      </c>
      <c r="G455" t="inlineStr">
        <is>
          <t>FALKENBERG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14331-2022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44652</v>
      </c>
      <c r="E456" s="1" t="n">
        <v>46281</v>
      </c>
      <c r="F456" t="inlineStr">
        <is>
          <t>HALLANDS LÄN</t>
        </is>
      </c>
      <c r="G456" t="inlineStr">
        <is>
          <t>FALKENBERG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45681</v>
      </c>
      <c r="E457" s="1" t="n">
        <v>46281</v>
      </c>
      <c r="F457" t="inlineStr">
        <is>
          <t>HALLANDS LÄN</t>
        </is>
      </c>
      <c r="G457" t="inlineStr">
        <is>
          <t>FALKENBERG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45682</v>
      </c>
      <c r="E458" s="1" t="n">
        <v>46281</v>
      </c>
      <c r="F458" t="inlineStr">
        <is>
          <t>HALLANDS LÄN</t>
        </is>
      </c>
      <c r="G458" t="inlineStr">
        <is>
          <t>FALKENBERG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45682</v>
      </c>
      <c r="E459" s="1" t="n">
        <v>46281</v>
      </c>
      <c r="F459" t="inlineStr">
        <is>
          <t>HALLANDS LÄN</t>
        </is>
      </c>
      <c r="G459" t="inlineStr">
        <is>
          <t>FALKENBERG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46281</v>
      </c>
      <c r="F460" t="inlineStr">
        <is>
          <t>HALLANDS LÄN</t>
        </is>
      </c>
      <c r="G460" t="inlineStr">
        <is>
          <t>FALKENBERG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45246</v>
      </c>
      <c r="E461" s="1" t="n">
        <v>46281</v>
      </c>
      <c r="F461" t="inlineStr">
        <is>
          <t>HALLANDS LÄN</t>
        </is>
      </c>
      <c r="G461" t="inlineStr">
        <is>
          <t>FALKENBERG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45673</v>
      </c>
      <c r="E462" s="1" t="n">
        <v>46281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46281</v>
      </c>
      <c r="F463" t="inlineStr">
        <is>
          <t>HALLANDS LÄN</t>
        </is>
      </c>
      <c r="G463" t="inlineStr">
        <is>
          <t>FALKENBERG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46281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45357</v>
      </c>
      <c r="E465" s="1" t="n">
        <v>46281</v>
      </c>
      <c r="F465" t="inlineStr">
        <is>
          <t>HALLANDS LÄN</t>
        </is>
      </c>
      <c r="G465" t="inlineStr">
        <is>
          <t>FALKENBERG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45127</v>
      </c>
      <c r="E466" s="1" t="n">
        <v>46281</v>
      </c>
      <c r="F466" t="inlineStr">
        <is>
          <t>HALLANDS LÄN</t>
        </is>
      </c>
      <c r="G466" t="inlineStr">
        <is>
          <t>FALKENBERG</t>
        </is>
      </c>
      <c r="H466" t="inlineStr">
        <is>
          <t>Kommuner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46281</v>
      </c>
      <c r="F467" t="inlineStr">
        <is>
          <t>HALLANDS LÄN</t>
        </is>
      </c>
      <c r="G467" t="inlineStr">
        <is>
          <t>FALKENBERG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9917-2023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46281</v>
      </c>
      <c r="F468" t="inlineStr">
        <is>
          <t>HALLANDS LÄN</t>
        </is>
      </c>
      <c r="G468" t="inlineStr">
        <is>
          <t>FALKENBERG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46365-2022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44848</v>
      </c>
      <c r="E469" s="1" t="n">
        <v>46281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46281</v>
      </c>
      <c r="F470" t="inlineStr">
        <is>
          <t>HALLANDS LÄN</t>
        </is>
      </c>
      <c r="G470" t="inlineStr">
        <is>
          <t>FALKENBERG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46281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42799-2024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46281</v>
      </c>
      <c r="F472" t="inlineStr">
        <is>
          <t>HALLANDS LÄN</t>
        </is>
      </c>
      <c r="G472" t="inlineStr">
        <is>
          <t>FALKENBERG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46200</v>
      </c>
      <c r="E473" s="1" t="n">
        <v>46281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39074-2024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45548</v>
      </c>
      <c r="E474" s="1" t="n">
        <v>46281</v>
      </c>
      <c r="F474" t="inlineStr">
        <is>
          <t>HALLANDS LÄN</t>
        </is>
      </c>
      <c r="G474" t="inlineStr">
        <is>
          <t>FALKENBERG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45105</v>
      </c>
      <c r="E475" s="1" t="n">
        <v>46281</v>
      </c>
      <c r="F475" t="inlineStr">
        <is>
          <t>HALLANDS LÄN</t>
        </is>
      </c>
      <c r="G475" t="inlineStr">
        <is>
          <t>FALKENBERG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45048</v>
      </c>
      <c r="E476" s="1" t="n">
        <v>46281</v>
      </c>
      <c r="F476" t="inlineStr">
        <is>
          <t>HALLANDS LÄN</t>
        </is>
      </c>
      <c r="G476" t="inlineStr">
        <is>
          <t>FALKENBERG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46281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46281</v>
      </c>
      <c r="F478" t="inlineStr">
        <is>
          <t>HALLANDS LÄN</t>
        </is>
      </c>
      <c r="G478" t="inlineStr">
        <is>
          <t>FALKENBERG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45148</v>
      </c>
      <c r="E479" s="1" t="n">
        <v>46281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45328</v>
      </c>
      <c r="E480" s="1" t="n">
        <v>46281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46281</v>
      </c>
      <c r="F481" t="inlineStr">
        <is>
          <t>HALLANDS LÄN</t>
        </is>
      </c>
      <c r="G481" t="inlineStr">
        <is>
          <t>FALKENBERG</t>
        </is>
      </c>
      <c r="H481" t="inlineStr">
        <is>
          <t>Bergvik skog väst AB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46281</v>
      </c>
      <c r="F482" t="inlineStr">
        <is>
          <t>HALLANDS LÄN</t>
        </is>
      </c>
      <c r="G482" t="inlineStr">
        <is>
          <t>FALKENBERG</t>
        </is>
      </c>
      <c r="H482" t="inlineStr">
        <is>
          <t>Bergvik skog väst AB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10249-2023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44986</v>
      </c>
      <c r="E483" s="1" t="n">
        <v>46281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46281</v>
      </c>
      <c r="F484" t="inlineStr">
        <is>
          <t>HALLANDS LÄN</t>
        </is>
      </c>
      <c r="G484" t="inlineStr">
        <is>
          <t>FALKENBERG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44622</v>
      </c>
      <c r="E485" s="1" t="n">
        <v>46281</v>
      </c>
      <c r="F485" t="inlineStr">
        <is>
          <t>HALLANDS LÄN</t>
        </is>
      </c>
      <c r="G485" t="inlineStr">
        <is>
          <t>FALKENBERG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46281</v>
      </c>
      <c r="F486" t="inlineStr">
        <is>
          <t>HALLANDS LÄN</t>
        </is>
      </c>
      <c r="G486" t="inlineStr">
        <is>
          <t>FALKENBERG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18813-2023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45044</v>
      </c>
      <c r="E487" s="1" t="n">
        <v>46281</v>
      </c>
      <c r="F487" t="inlineStr">
        <is>
          <t>HALLANDS LÄN</t>
        </is>
      </c>
      <c r="G487" t="inlineStr">
        <is>
          <t>FALKENBERG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45481</v>
      </c>
      <c r="E488" s="1" t="n">
        <v>46281</v>
      </c>
      <c r="F488" t="inlineStr">
        <is>
          <t>HALLANDS LÄN</t>
        </is>
      </c>
      <c r="G488" t="inlineStr">
        <is>
          <t>FALKENBERG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11574-2022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44631</v>
      </c>
      <c r="E489" s="1" t="n">
        <v>46281</v>
      </c>
      <c r="F489" t="inlineStr">
        <is>
          <t>HALLANDS LÄN</t>
        </is>
      </c>
      <c r="G489" t="inlineStr">
        <is>
          <t>FALKENBERG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45377</v>
      </c>
      <c r="E490" s="1" t="n">
        <v>46281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39570-2024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45552</v>
      </c>
      <c r="E491" s="1" t="n">
        <v>46281</v>
      </c>
      <c r="F491" t="inlineStr">
        <is>
          <t>HALLANDS LÄN</t>
        </is>
      </c>
      <c r="G491" t="inlineStr">
        <is>
          <t>FALKENBERG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46248</v>
      </c>
      <c r="E492" s="1" t="n">
        <v>46281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46281</v>
      </c>
      <c r="F493" t="inlineStr">
        <is>
          <t>HALLANDS LÄN</t>
        </is>
      </c>
      <c r="G493" t="inlineStr">
        <is>
          <t>FALKENBERG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15427-2024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45401</v>
      </c>
      <c r="E494" s="1" t="n">
        <v>46281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18773-2022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44689</v>
      </c>
      <c r="E495" s="1" t="n">
        <v>46281</v>
      </c>
      <c r="F495" t="inlineStr">
        <is>
          <t>HALLANDS LÄN</t>
        </is>
      </c>
      <c r="G495" t="inlineStr">
        <is>
          <t>FALKENBERG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9354-2025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45714</v>
      </c>
      <c r="E496" s="1" t="n">
        <v>46281</v>
      </c>
      <c r="F496" t="inlineStr">
        <is>
          <t>HALLANDS LÄN</t>
        </is>
      </c>
      <c r="G496" t="inlineStr">
        <is>
          <t>FALKENBERG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45588</v>
      </c>
      <c r="E497" s="1" t="n">
        <v>46281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45667</v>
      </c>
      <c r="E498" s="1" t="n">
        <v>46281</v>
      </c>
      <c r="F498" t="inlineStr">
        <is>
          <t>HALLANDS LÄN</t>
        </is>
      </c>
      <c r="G498" t="inlineStr">
        <is>
          <t>FALKENBERG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44644</v>
      </c>
      <c r="E499" s="1" t="n">
        <v>46281</v>
      </c>
      <c r="F499" t="inlineStr">
        <is>
          <t>HALLANDS LÄN</t>
        </is>
      </c>
      <c r="G499" t="inlineStr">
        <is>
          <t>FALKENBERG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44954-2023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45190</v>
      </c>
      <c r="E500" s="1" t="n">
        <v>46281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73973-2021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44554</v>
      </c>
      <c r="E501" s="1" t="n">
        <v>46281</v>
      </c>
      <c r="F501" t="inlineStr">
        <is>
          <t>HALLANDS LÄN</t>
        </is>
      </c>
      <c r="G501" t="inlineStr">
        <is>
          <t>FALKENBERG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44687</v>
      </c>
      <c r="E502" s="1" t="n">
        <v>46281</v>
      </c>
      <c r="F502" t="inlineStr">
        <is>
          <t>HALLANDS LÄN</t>
        </is>
      </c>
      <c r="G502" t="inlineStr">
        <is>
          <t>FALKENBERG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33854-2026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46251</v>
      </c>
      <c r="E503" s="1" t="n">
        <v>46281</v>
      </c>
      <c r="F503" t="inlineStr">
        <is>
          <t>HALLANDS LÄN</t>
        </is>
      </c>
      <c r="G503" t="inlineStr">
        <is>
          <t>FALKENBERG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45702</v>
      </c>
      <c r="E504" s="1" t="n">
        <v>46281</v>
      </c>
      <c r="F504" t="inlineStr">
        <is>
          <t>HALLANDS LÄN</t>
        </is>
      </c>
      <c r="G504" t="inlineStr">
        <is>
          <t>FALKENBERG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45601</v>
      </c>
      <c r="E505" s="1" t="n">
        <v>46281</v>
      </c>
      <c r="F505" t="inlineStr">
        <is>
          <t>HALLANDS LÄN</t>
        </is>
      </c>
      <c r="G505" t="inlineStr">
        <is>
          <t>FALKENBERG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45435</v>
      </c>
      <c r="E506" s="1" t="n">
        <v>46281</v>
      </c>
      <c r="F506" t="inlineStr">
        <is>
          <t>HALLANDS LÄN</t>
        </is>
      </c>
      <c r="G506" t="inlineStr">
        <is>
          <t>FALKENBERG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45266</v>
      </c>
      <c r="E507" s="1" t="n">
        <v>46281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54659-2024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46281</v>
      </c>
      <c r="F508" t="inlineStr">
        <is>
          <t>HALLANDS LÄN</t>
        </is>
      </c>
      <c r="G508" t="inlineStr">
        <is>
          <t>FALKENBERG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46281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30715-2026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46211</v>
      </c>
      <c r="E510" s="1" t="n">
        <v>46281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46281</v>
      </c>
      <c r="F511" t="inlineStr">
        <is>
          <t>HALLANDS LÄN</t>
        </is>
      </c>
      <c r="G511" t="inlineStr">
        <is>
          <t>FALKENBERG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57433-2024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45629</v>
      </c>
      <c r="E512" s="1" t="n">
        <v>46281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46281</v>
      </c>
      <c r="F513" t="inlineStr">
        <is>
          <t>HALLANDS LÄN</t>
        </is>
      </c>
      <c r="G513" t="inlineStr">
        <is>
          <t>FALKENBERG</t>
        </is>
      </c>
      <c r="H513" t="inlineStr">
        <is>
          <t>Kyrkan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46281</v>
      </c>
      <c r="F514" t="inlineStr">
        <is>
          <t>HALLANDS LÄN</t>
        </is>
      </c>
      <c r="G514" t="inlineStr">
        <is>
          <t>FALKENBERG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43045-2023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46281</v>
      </c>
      <c r="F515" t="inlineStr">
        <is>
          <t>HALLANDS LÄN</t>
        </is>
      </c>
      <c r="G515" t="inlineStr">
        <is>
          <t>FALKENBERG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16405-2025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45751</v>
      </c>
      <c r="E516" s="1" t="n">
        <v>46281</v>
      </c>
      <c r="F516" t="inlineStr">
        <is>
          <t>HALLANDS LÄN</t>
        </is>
      </c>
      <c r="G516" t="inlineStr">
        <is>
          <t>FALKENBERG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46281</v>
      </c>
      <c r="F517" t="inlineStr">
        <is>
          <t>HALLANDS LÄN</t>
        </is>
      </c>
      <c r="G517" t="inlineStr">
        <is>
          <t>FALKENBERG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12803-2022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44642</v>
      </c>
      <c r="E518" s="1" t="n">
        <v>46281</v>
      </c>
      <c r="F518" t="inlineStr">
        <is>
          <t>HALLANDS LÄN</t>
        </is>
      </c>
      <c r="G518" t="inlineStr">
        <is>
          <t>FALKENBERG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46281</v>
      </c>
      <c r="F519" t="inlineStr">
        <is>
          <t>HALLANDS LÄN</t>
        </is>
      </c>
      <c r="G519" t="inlineStr">
        <is>
          <t>FALKENBERG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30790-2026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46212</v>
      </c>
      <c r="E520" s="1" t="n">
        <v>46281</v>
      </c>
      <c r="F520" t="inlineStr">
        <is>
          <t>HALLANDS LÄN</t>
        </is>
      </c>
      <c r="G520" t="inlineStr">
        <is>
          <t>FALKENBERG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46281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46217</v>
      </c>
      <c r="E522" s="1" t="n">
        <v>46281</v>
      </c>
      <c r="F522" t="inlineStr">
        <is>
          <t>HALLANDS LÄN</t>
        </is>
      </c>
      <c r="G522" t="inlineStr">
        <is>
          <t>FALKENBERG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45401</v>
      </c>
      <c r="E523" s="1" t="n">
        <v>46281</v>
      </c>
      <c r="F523" t="inlineStr">
        <is>
          <t>HALLANDS LÄN</t>
        </is>
      </c>
      <c r="G523" t="inlineStr">
        <is>
          <t>FALKENBERG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35229-2026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46260</v>
      </c>
      <c r="E524" s="1" t="n">
        <v>46281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46281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45686</v>
      </c>
      <c r="E526" s="1" t="n">
        <v>46281</v>
      </c>
      <c r="F526" t="inlineStr">
        <is>
          <t>HALLANDS LÄN</t>
        </is>
      </c>
      <c r="G526" t="inlineStr">
        <is>
          <t>FALKENBERG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46281</v>
      </c>
      <c r="F527" t="inlineStr">
        <is>
          <t>HALLANDS LÄN</t>
        </is>
      </c>
      <c r="G527" t="inlineStr">
        <is>
          <t>FALKENBERG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39573-2024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45552</v>
      </c>
      <c r="E528" s="1" t="n">
        <v>46281</v>
      </c>
      <c r="F528" t="inlineStr">
        <is>
          <t>HALLANDS LÄN</t>
        </is>
      </c>
      <c r="G528" t="inlineStr">
        <is>
          <t>FALKENBERG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20352-2024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45435</v>
      </c>
      <c r="E529" s="1" t="n">
        <v>46281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45351</v>
      </c>
      <c r="E530" s="1" t="n">
        <v>46281</v>
      </c>
      <c r="F530" t="inlineStr">
        <is>
          <t>HALLANDS LÄN</t>
        </is>
      </c>
      <c r="G530" t="inlineStr">
        <is>
          <t>FALKENBERG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45914-2022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46281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17373-2024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46281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44811</v>
      </c>
      <c r="E533" s="1" t="n">
        <v>46281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45324</v>
      </c>
      <c r="E534" s="1" t="n">
        <v>46281</v>
      </c>
      <c r="F534" t="inlineStr">
        <is>
          <t>HALLANDS LÄN</t>
        </is>
      </c>
      <c r="G534" t="inlineStr">
        <is>
          <t>FALKENBERG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46281</v>
      </c>
      <c r="F535" t="inlineStr">
        <is>
          <t>HALLANDS LÄN</t>
        </is>
      </c>
      <c r="G535" t="inlineStr">
        <is>
          <t>FALKENBERG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44087-2023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46281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45181</v>
      </c>
      <c r="E537" s="1" t="n">
        <v>46281</v>
      </c>
      <c r="F537" t="inlineStr">
        <is>
          <t>HALLANDS LÄN</t>
        </is>
      </c>
      <c r="G537" t="inlineStr">
        <is>
          <t>FALKENBERG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46281</v>
      </c>
      <c r="F538" t="inlineStr">
        <is>
          <t>HALLANDS LÄN</t>
        </is>
      </c>
      <c r="G538" t="inlineStr">
        <is>
          <t>FALKENBERG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46263</v>
      </c>
      <c r="E539" s="1" t="n">
        <v>46281</v>
      </c>
      <c r="F539" t="inlineStr">
        <is>
          <t>HALLANDS LÄN</t>
        </is>
      </c>
      <c r="G539" t="inlineStr">
        <is>
          <t>FALKENBERG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17745-2023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45037</v>
      </c>
      <c r="E540" s="1" t="n">
        <v>46281</v>
      </c>
      <c r="F540" t="inlineStr">
        <is>
          <t>HALLANDS LÄN</t>
        </is>
      </c>
      <c r="G540" t="inlineStr">
        <is>
          <t>FALKENBERG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44986</v>
      </c>
      <c r="E541" s="1" t="n">
        <v>46281</v>
      </c>
      <c r="F541" t="inlineStr">
        <is>
          <t>HALLANDS LÄN</t>
        </is>
      </c>
      <c r="G541" t="inlineStr">
        <is>
          <t>FALKENBERG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3735-2025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46281</v>
      </c>
      <c r="F542" t="inlineStr">
        <is>
          <t>HALLANDS LÄN</t>
        </is>
      </c>
      <c r="G542" t="inlineStr">
        <is>
          <t>FALKENBERG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46263</v>
      </c>
      <c r="E543" s="1" t="n">
        <v>46281</v>
      </c>
      <c r="F543" t="inlineStr">
        <is>
          <t>HALLANDS LÄN</t>
        </is>
      </c>
      <c r="G543" t="inlineStr">
        <is>
          <t>FALKENBERG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31654-2026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46225</v>
      </c>
      <c r="E544" s="1" t="n">
        <v>46281</v>
      </c>
      <c r="F544" t="inlineStr">
        <is>
          <t>HALLANDS LÄN</t>
        </is>
      </c>
      <c r="G544" t="inlineStr">
        <is>
          <t>FALKENBERG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46281</v>
      </c>
      <c r="F545" t="inlineStr">
        <is>
          <t>HALLANDS LÄN</t>
        </is>
      </c>
      <c r="G545" t="inlineStr">
        <is>
          <t>FALKENBERG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44963</v>
      </c>
      <c r="E546" s="1" t="n">
        <v>46281</v>
      </c>
      <c r="F546" t="inlineStr">
        <is>
          <t>HALLANDS LÄN</t>
        </is>
      </c>
      <c r="G546" t="inlineStr">
        <is>
          <t>FALKENBERG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44963</v>
      </c>
      <c r="E547" s="1" t="n">
        <v>46281</v>
      </c>
      <c r="F547" t="inlineStr">
        <is>
          <t>HALLANDS LÄN</t>
        </is>
      </c>
      <c r="G547" t="inlineStr">
        <is>
          <t>FALKENBERG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58939-2022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46281</v>
      </c>
      <c r="F548" t="inlineStr">
        <is>
          <t>HALLANDS LÄN</t>
        </is>
      </c>
      <c r="G548" t="inlineStr">
        <is>
          <t>FALKENBERG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51391-2023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45219</v>
      </c>
      <c r="E549" s="1" t="n">
        <v>46281</v>
      </c>
      <c r="F549" t="inlineStr">
        <is>
          <t>HALLANDS LÄN</t>
        </is>
      </c>
      <c r="G549" t="inlineStr">
        <is>
          <t>FALKENBERG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46281</v>
      </c>
      <c r="F550" t="inlineStr">
        <is>
          <t>HALLANDS LÄN</t>
        </is>
      </c>
      <c r="G550" t="inlineStr">
        <is>
          <t>FALKENBERG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46271</v>
      </c>
      <c r="E551" s="1" t="n">
        <v>46281</v>
      </c>
      <c r="F551" t="inlineStr">
        <is>
          <t>HALLANDS LÄN</t>
        </is>
      </c>
      <c r="G551" t="inlineStr">
        <is>
          <t>FALKENBERG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46271</v>
      </c>
      <c r="E552" s="1" t="n">
        <v>46281</v>
      </c>
      <c r="F552" t="inlineStr">
        <is>
          <t>HALLANDS LÄN</t>
        </is>
      </c>
      <c r="G552" t="inlineStr">
        <is>
          <t>FALKENBERG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46272</v>
      </c>
      <c r="E553" s="1" t="n">
        <v>46281</v>
      </c>
      <c r="F553" t="inlineStr">
        <is>
          <t>HALLANDS LÄN</t>
        </is>
      </c>
      <c r="G553" t="inlineStr">
        <is>
          <t>FALKENBERG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4713-2023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46281</v>
      </c>
      <c r="F554" t="inlineStr">
        <is>
          <t>HALLANDS LÄN</t>
        </is>
      </c>
      <c r="G554" t="inlineStr">
        <is>
          <t>FALKENBERG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45029</v>
      </c>
      <c r="E555" s="1" t="n">
        <v>46281</v>
      </c>
      <c r="F555" t="inlineStr">
        <is>
          <t>HALLANDS LÄN</t>
        </is>
      </c>
      <c r="G555" t="inlineStr">
        <is>
          <t>FALKENBERG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44986</v>
      </c>
      <c r="E556" s="1" t="n">
        <v>46281</v>
      </c>
      <c r="F556" t="inlineStr">
        <is>
          <t>HALLANDS LÄN</t>
        </is>
      </c>
      <c r="G556" t="inlineStr">
        <is>
          <t>FALKENBERG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12939-2023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45001</v>
      </c>
      <c r="E557" s="1" t="n">
        <v>46281</v>
      </c>
      <c r="F557" t="inlineStr">
        <is>
          <t>HALLANDS LÄN</t>
        </is>
      </c>
      <c r="G557" t="inlineStr">
        <is>
          <t>FALKENBERG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54125-2024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46281</v>
      </c>
      <c r="F558" t="inlineStr">
        <is>
          <t>HALLANDS LÄN</t>
        </is>
      </c>
      <c r="G558" t="inlineStr">
        <is>
          <t>FALKENBERG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46281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45127</v>
      </c>
      <c r="E560" s="1" t="n">
        <v>46281</v>
      </c>
      <c r="F560" t="inlineStr">
        <is>
          <t>HALLANDS LÄN</t>
        </is>
      </c>
      <c r="G560" t="inlineStr">
        <is>
          <t>FALKENBERG</t>
        </is>
      </c>
      <c r="H560" t="inlineStr">
        <is>
          <t>Kommuner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45226</v>
      </c>
      <c r="E561" s="1" t="n">
        <v>46281</v>
      </c>
      <c r="F561" t="inlineStr">
        <is>
          <t>HALLANDS LÄN</t>
        </is>
      </c>
      <c r="G561" t="inlineStr">
        <is>
          <t>FALKENBERG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45681</v>
      </c>
      <c r="E562" s="1" t="n">
        <v>46281</v>
      </c>
      <c r="F562" t="inlineStr">
        <is>
          <t>HALLANDS LÄN</t>
        </is>
      </c>
      <c r="G562" t="inlineStr">
        <is>
          <t>FALKENBERG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45300</v>
      </c>
      <c r="E563" s="1" t="n">
        <v>46281</v>
      </c>
      <c r="F563" t="inlineStr">
        <is>
          <t>HALLANDS LÄN</t>
        </is>
      </c>
      <c r="G563" t="inlineStr">
        <is>
          <t>FALKENBERG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10268-2022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44622</v>
      </c>
      <c r="E564" s="1" t="n">
        <v>46281</v>
      </c>
      <c r="F564" t="inlineStr">
        <is>
          <t>HALLANDS LÄN</t>
        </is>
      </c>
      <c r="G564" t="inlineStr">
        <is>
          <t>FALKENBERG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45667</v>
      </c>
      <c r="E565" s="1" t="n">
        <v>46281</v>
      </c>
      <c r="F565" t="inlineStr">
        <is>
          <t>HALLANDS LÄN</t>
        </is>
      </c>
      <c r="G565" t="inlineStr">
        <is>
          <t>FALKENBERG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20907-2025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45777</v>
      </c>
      <c r="E566" s="1" t="n">
        <v>46281</v>
      </c>
      <c r="F566" t="inlineStr">
        <is>
          <t>HALLANDS LÄN</t>
        </is>
      </c>
      <c r="G566" t="inlineStr">
        <is>
          <t>FALKENBERG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46281</v>
      </c>
      <c r="F567" t="inlineStr">
        <is>
          <t>HALLANDS LÄN</t>
        </is>
      </c>
      <c r="G567" t="inlineStr">
        <is>
          <t>FALKENBERG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45782</v>
      </c>
      <c r="E568" s="1" t="n">
        <v>46281</v>
      </c>
      <c r="F568" t="inlineStr">
        <is>
          <t>HALLANDS LÄN</t>
        </is>
      </c>
      <c r="G568" t="inlineStr">
        <is>
          <t>FALKENBERG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46281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45785</v>
      </c>
      <c r="E570" s="1" t="n">
        <v>46281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45741</v>
      </c>
      <c r="E571" s="1" t="n">
        <v>46281</v>
      </c>
      <c r="F571" t="inlineStr">
        <is>
          <t>HALLANDS LÄN</t>
        </is>
      </c>
      <c r="G571" t="inlineStr">
        <is>
          <t>FALKENBERG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45443</v>
      </c>
      <c r="E572" s="1" t="n">
        <v>46281</v>
      </c>
      <c r="F572" t="inlineStr">
        <is>
          <t>HALLANDS LÄN</t>
        </is>
      </c>
      <c r="G572" t="inlineStr">
        <is>
          <t>FALKENBERG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46281</v>
      </c>
      <c r="F573" t="inlineStr">
        <is>
          <t>HALLANDS LÄN</t>
        </is>
      </c>
      <c r="G573" t="inlineStr">
        <is>
          <t>FALKENBERG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42074-2024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46281</v>
      </c>
      <c r="F574" t="inlineStr">
        <is>
          <t>HALLANDS LÄN</t>
        </is>
      </c>
      <c r="G574" t="inlineStr">
        <is>
          <t>FALKENBERG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46522-2024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45582</v>
      </c>
      <c r="E575" s="1" t="n">
        <v>46281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54131-2024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45616</v>
      </c>
      <c r="E576" s="1" t="n">
        <v>46281</v>
      </c>
      <c r="F576" t="inlineStr">
        <is>
          <t>HALLANDS LÄN</t>
        </is>
      </c>
      <c r="G576" t="inlineStr">
        <is>
          <t>FALKENBERG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45686</v>
      </c>
      <c r="E577" s="1" t="n">
        <v>46281</v>
      </c>
      <c r="F577" t="inlineStr">
        <is>
          <t>HALLANDS LÄN</t>
        </is>
      </c>
      <c r="G577" t="inlineStr">
        <is>
          <t>FALKENBERG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45666</v>
      </c>
      <c r="E578" s="1" t="n">
        <v>46281</v>
      </c>
      <c r="F578" t="inlineStr">
        <is>
          <t>HALLANDS LÄN</t>
        </is>
      </c>
      <c r="G578" t="inlineStr">
        <is>
          <t>FALKENBERG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46281</v>
      </c>
      <c r="F579" t="inlineStr">
        <is>
          <t>HALLANDS LÄN</t>
        </is>
      </c>
      <c r="G579" t="inlineStr">
        <is>
          <t>FALKENBERG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25071-2025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45799</v>
      </c>
      <c r="E580" s="1" t="n">
        <v>46281</v>
      </c>
      <c r="F580" t="inlineStr">
        <is>
          <t>HALLANDS LÄN</t>
        </is>
      </c>
      <c r="G580" t="inlineStr">
        <is>
          <t>FALKENBERG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46281</v>
      </c>
      <c r="F581" t="inlineStr">
        <is>
          <t>HALLANDS LÄN</t>
        </is>
      </c>
      <c r="G581" t="inlineStr">
        <is>
          <t>FALKENBERG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24887-2025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46281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45810</v>
      </c>
      <c r="E583" s="1" t="n">
        <v>46281</v>
      </c>
      <c r="F583" t="inlineStr">
        <is>
          <t>HALLANDS LÄN</t>
        </is>
      </c>
      <c r="G583" t="inlineStr">
        <is>
          <t>FALKENBERG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45467</v>
      </c>
      <c r="E584" s="1" t="n">
        <v>46281</v>
      </c>
      <c r="F584" t="inlineStr">
        <is>
          <t>HALLANDS LÄN</t>
        </is>
      </c>
      <c r="G584" t="inlineStr">
        <is>
          <t>FALKENBERG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45615</v>
      </c>
      <c r="E585" s="1" t="n">
        <v>46281</v>
      </c>
      <c r="F585" t="inlineStr">
        <is>
          <t>HALLANDS LÄN</t>
        </is>
      </c>
      <c r="G585" t="inlineStr">
        <is>
          <t>FALKENBERG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8827-2025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46281</v>
      </c>
      <c r="F586" t="inlineStr">
        <is>
          <t>HALLANDS LÄN</t>
        </is>
      </c>
      <c r="G586" t="inlineStr">
        <is>
          <t>FALKENBERG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57523-2024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46281</v>
      </c>
      <c r="F587" t="inlineStr">
        <is>
          <t>HALLANDS LÄN</t>
        </is>
      </c>
      <c r="G587" t="inlineStr">
        <is>
          <t>FALKENBERG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46281</v>
      </c>
      <c r="F588" t="inlineStr">
        <is>
          <t>HALLANDS LÄN</t>
        </is>
      </c>
      <c r="G588" t="inlineStr">
        <is>
          <t>FALKENBERG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45834</v>
      </c>
      <c r="E589" s="1" t="n">
        <v>46281</v>
      </c>
      <c r="F589" t="inlineStr">
        <is>
          <t>HALLANDS LÄN</t>
        </is>
      </c>
      <c r="G589" t="inlineStr">
        <is>
          <t>FALKENBERG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31684-2025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46281</v>
      </c>
      <c r="F590" t="inlineStr">
        <is>
          <t>HALLANDS LÄN</t>
        </is>
      </c>
      <c r="G590" t="inlineStr">
        <is>
          <t>FALKENBERG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46281</v>
      </c>
      <c r="F591" t="inlineStr">
        <is>
          <t>HALLANDS LÄN</t>
        </is>
      </c>
      <c r="G591" t="inlineStr">
        <is>
          <t>FALKENBERG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32623-2025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46281</v>
      </c>
      <c r="F592" t="inlineStr">
        <is>
          <t>HALLANDS LÄN</t>
        </is>
      </c>
      <c r="G592" t="inlineStr">
        <is>
          <t>FALKENBERG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32628-2025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46281</v>
      </c>
      <c r="F593" t="inlineStr">
        <is>
          <t>HALLANDS LÄN</t>
        </is>
      </c>
      <c r="G593" t="inlineStr">
        <is>
          <t>FALKENBERG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46281</v>
      </c>
      <c r="F594" t="inlineStr">
        <is>
          <t>HALLANDS LÄN</t>
        </is>
      </c>
      <c r="G594" t="inlineStr">
        <is>
          <t>FALKENBERG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46281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32398-2025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46281</v>
      </c>
      <c r="F596" t="inlineStr">
        <is>
          <t>HALLANDS LÄN</t>
        </is>
      </c>
      <c r="G596" t="inlineStr">
        <is>
          <t>FALKENBERG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46281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46281</v>
      </c>
      <c r="F598" t="inlineStr">
        <is>
          <t>HALLANDS LÄN</t>
        </is>
      </c>
      <c r="G598" t="inlineStr">
        <is>
          <t>FALKENBERG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46281</v>
      </c>
      <c r="F599" t="inlineStr">
        <is>
          <t>HALLANDS LÄN</t>
        </is>
      </c>
      <c r="G599" t="inlineStr">
        <is>
          <t>FALKENBERG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34800-2025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45848</v>
      </c>
      <c r="E600" s="1" t="n">
        <v>46281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45750</v>
      </c>
      <c r="E601" s="1" t="n">
        <v>46281</v>
      </c>
      <c r="F601" t="inlineStr">
        <is>
          <t>HALLANDS LÄN</t>
        </is>
      </c>
      <c r="G601" t="inlineStr">
        <is>
          <t>FALKENBERG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46281</v>
      </c>
      <c r="F602" t="inlineStr">
        <is>
          <t>HALLANDS LÄN</t>
        </is>
      </c>
      <c r="G602" t="inlineStr">
        <is>
          <t>FALKENBERG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46281</v>
      </c>
      <c r="F603" t="inlineStr">
        <is>
          <t>HALLANDS LÄN</t>
        </is>
      </c>
      <c r="G603" t="inlineStr">
        <is>
          <t>FALKENBERG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65081-2021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44515</v>
      </c>
      <c r="E604" s="1" t="n">
        <v>46281</v>
      </c>
      <c r="F604" t="inlineStr">
        <is>
          <t>HALLANDS LÄN</t>
        </is>
      </c>
      <c r="G604" t="inlineStr">
        <is>
          <t>FALKENBERG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66747-2021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44521</v>
      </c>
      <c r="E605" s="1" t="n">
        <v>46281</v>
      </c>
      <c r="F605" t="inlineStr">
        <is>
          <t>HALLANDS LÄN</t>
        </is>
      </c>
      <c r="G605" t="inlineStr">
        <is>
          <t>FALKENBERG</t>
        </is>
      </c>
      <c r="I605" t="n">
        <v>10.7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45422</v>
      </c>
      <c r="E606" s="1" t="n">
        <v>46281</v>
      </c>
      <c r="F606" t="inlineStr">
        <is>
          <t>HALLANDS LÄN</t>
        </is>
      </c>
      <c r="G606" t="inlineStr">
        <is>
          <t>FALKENBERG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46281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10.4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45422</v>
      </c>
      <c r="E608" s="1" t="n">
        <v>46281</v>
      </c>
      <c r="F608" t="inlineStr">
        <is>
          <t>HALLANDS LÄN</t>
        </is>
      </c>
      <c r="G608" t="inlineStr">
        <is>
          <t>FALKENBERG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39593-2022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44818</v>
      </c>
      <c r="E609" s="1" t="n">
        <v>46281</v>
      </c>
      <c r="F609" t="inlineStr">
        <is>
          <t>HALLANDS LÄN</t>
        </is>
      </c>
      <c r="G609" t="inlineStr">
        <is>
          <t>FALKENBERG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45068</v>
      </c>
      <c r="E610" s="1" t="n">
        <v>46281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50381-2022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44866</v>
      </c>
      <c r="E611" s="1" t="n">
        <v>46281</v>
      </c>
      <c r="F611" t="inlineStr">
        <is>
          <t>HALLANDS LÄN</t>
        </is>
      </c>
      <c r="G611" t="inlineStr">
        <is>
          <t>FALKENBERG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45387</v>
      </c>
      <c r="E612" s="1" t="n">
        <v>46281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20250-2024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45434</v>
      </c>
      <c r="E613" s="1" t="n">
        <v>46281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53427-2023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45229</v>
      </c>
      <c r="E614" s="1" t="n">
        <v>46281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46281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24198-2023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46281</v>
      </c>
      <c r="F616" t="inlineStr">
        <is>
          <t>HALLANDS LÄN</t>
        </is>
      </c>
      <c r="G616" t="inlineStr">
        <is>
          <t>FALKENBERG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45305</v>
      </c>
      <c r="E617" s="1" t="n">
        <v>46281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19534-2022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44693</v>
      </c>
      <c r="E618" s="1" t="n">
        <v>46281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46281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28103-2025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45817</v>
      </c>
      <c r="E620" s="1" t="n">
        <v>46281</v>
      </c>
      <c r="F620" t="inlineStr">
        <is>
          <t>HALLANDS LÄN</t>
        </is>
      </c>
      <c r="G620" t="inlineStr">
        <is>
          <t>FALKENBERG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45146</v>
      </c>
      <c r="E621" s="1" t="n">
        <v>46281</v>
      </c>
      <c r="F621" t="inlineStr">
        <is>
          <t>HALLANDS LÄN</t>
        </is>
      </c>
      <c r="G621" t="inlineStr">
        <is>
          <t>FALKENBERG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46281</v>
      </c>
      <c r="F622" t="inlineStr">
        <is>
          <t>HALLANDS LÄN</t>
        </is>
      </c>
      <c r="G622" t="inlineStr">
        <is>
          <t>FALKENBERG</t>
        </is>
      </c>
      <c r="H622" t="inlineStr">
        <is>
          <t>Bergvik skog väst AB</t>
        </is>
      </c>
      <c r="I622" t="n">
        <v>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46281</v>
      </c>
      <c r="F623" t="inlineStr">
        <is>
          <t>HALLANDS LÄN</t>
        </is>
      </c>
      <c r="G623" t="inlineStr">
        <is>
          <t>FALKENBERG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44952</v>
      </c>
      <c r="E624" s="1" t="n">
        <v>46281</v>
      </c>
      <c r="F624" t="inlineStr">
        <is>
          <t>HALLANDS LÄN</t>
        </is>
      </c>
      <c r="G624" t="inlineStr">
        <is>
          <t>FALKENBERG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45761</v>
      </c>
      <c r="E625" s="1" t="n">
        <v>46281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64455-2023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45280</v>
      </c>
      <c r="E626" s="1" t="n">
        <v>46281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45337</v>
      </c>
      <c r="E627" s="1" t="n">
        <v>46281</v>
      </c>
      <c r="F627" t="inlineStr">
        <is>
          <t>HALLANDS LÄN</t>
        </is>
      </c>
      <c r="G627" t="inlineStr">
        <is>
          <t>FALKENBERG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21978-2023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45068</v>
      </c>
      <c r="E628" s="1" t="n">
        <v>46281</v>
      </c>
      <c r="F628" t="inlineStr">
        <is>
          <t>HALLANDS LÄN</t>
        </is>
      </c>
      <c r="G628" t="inlineStr">
        <is>
          <t>FALKENBERG</t>
        </is>
      </c>
      <c r="I628" t="n">
        <v>13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45074</v>
      </c>
      <c r="E629" s="1" t="n">
        <v>46281</v>
      </c>
      <c r="F629" t="inlineStr">
        <is>
          <t>HALLANDS LÄN</t>
        </is>
      </c>
      <c r="G629" t="inlineStr">
        <is>
          <t>FALKENBERG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62582-2023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45270</v>
      </c>
      <c r="E630" s="1" t="n">
        <v>46281</v>
      </c>
      <c r="F630" t="inlineStr">
        <is>
          <t>HALLANDS LÄN</t>
        </is>
      </c>
      <c r="G630" t="inlineStr">
        <is>
          <t>FALKENBERG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58107-2023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45249</v>
      </c>
      <c r="E631" s="1" t="n">
        <v>46281</v>
      </c>
      <c r="F631" t="inlineStr">
        <is>
          <t>HALLANDS LÄN</t>
        </is>
      </c>
      <c r="G631" t="inlineStr">
        <is>
          <t>FALKENBERG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45974-2022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44846</v>
      </c>
      <c r="E632" s="1" t="n">
        <v>46281</v>
      </c>
      <c r="F632" t="inlineStr">
        <is>
          <t>HALLANDS LÄN</t>
        </is>
      </c>
      <c r="G632" t="inlineStr">
        <is>
          <t>FALKENBERG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14606-2023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45013</v>
      </c>
      <c r="E633" s="1" t="n">
        <v>46281</v>
      </c>
      <c r="F633" t="inlineStr">
        <is>
          <t>HALLANDS LÄN</t>
        </is>
      </c>
      <c r="G633" t="inlineStr">
        <is>
          <t>FALKENBERG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45970-2022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44846</v>
      </c>
      <c r="E634" s="1" t="n">
        <v>46281</v>
      </c>
      <c r="F634" t="inlineStr">
        <is>
          <t>HALLANDS LÄN</t>
        </is>
      </c>
      <c r="G634" t="inlineStr">
        <is>
          <t>FALKENBERG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60594-2023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45260</v>
      </c>
      <c r="E635" s="1" t="n">
        <v>46281</v>
      </c>
      <c r="F635" t="inlineStr">
        <is>
          <t>HALLANDS LÄN</t>
        </is>
      </c>
      <c r="G635" t="inlineStr">
        <is>
          <t>FALKENBERG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58089-2023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45248</v>
      </c>
      <c r="E636" s="1" t="n">
        <v>46281</v>
      </c>
      <c r="F636" t="inlineStr">
        <is>
          <t>HALLANDS LÄN</t>
        </is>
      </c>
      <c r="G636" t="inlineStr">
        <is>
          <t>FALKENBERG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58106-2023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45249</v>
      </c>
      <c r="E637" s="1" t="n">
        <v>46281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62712-2023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45271</v>
      </c>
      <c r="E638" s="1" t="n">
        <v>46281</v>
      </c>
      <c r="F638" t="inlineStr">
        <is>
          <t>HALLANDS LÄN</t>
        </is>
      </c>
      <c r="G638" t="inlineStr">
        <is>
          <t>FALKENBERG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45434</v>
      </c>
      <c r="E639" s="1" t="n">
        <v>46281</v>
      </c>
      <c r="F639" t="inlineStr">
        <is>
          <t>HALLANDS LÄN</t>
        </is>
      </c>
      <c r="G639" t="inlineStr">
        <is>
          <t>FALKENBERG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50133-2023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45215</v>
      </c>
      <c r="E640" s="1" t="n">
        <v>46281</v>
      </c>
      <c r="F640" t="inlineStr">
        <is>
          <t>HALLANDS LÄN</t>
        </is>
      </c>
      <c r="G640" t="inlineStr">
        <is>
          <t>FALKENBERG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44767</v>
      </c>
      <c r="E641" s="1" t="n">
        <v>46281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14602-2023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46281</v>
      </c>
      <c r="F642" t="inlineStr">
        <is>
          <t>HALLANDS LÄN</t>
        </is>
      </c>
      <c r="G642" t="inlineStr">
        <is>
          <t>FALKENBERG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45754</v>
      </c>
      <c r="E643" s="1" t="n">
        <v>46281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61931-2021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44502</v>
      </c>
      <c r="E644" s="1" t="n">
        <v>46281</v>
      </c>
      <c r="F644" t="inlineStr">
        <is>
          <t>HALLANDS LÄN</t>
        </is>
      </c>
      <c r="G644" t="inlineStr">
        <is>
          <t>FALKENBERG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29863-2025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46281</v>
      </c>
      <c r="F645" t="inlineStr">
        <is>
          <t>HALLANDS LÄN</t>
        </is>
      </c>
      <c r="G645" t="inlineStr">
        <is>
          <t>FALKENBERG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58109-2023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45249</v>
      </c>
      <c r="E646" s="1" t="n">
        <v>46281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46281</v>
      </c>
      <c r="F647" t="inlineStr">
        <is>
          <t>HALLANDS LÄN</t>
        </is>
      </c>
      <c r="G647" t="inlineStr">
        <is>
          <t>FALKENBERG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56652-2023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45243</v>
      </c>
      <c r="E648" s="1" t="n">
        <v>46281</v>
      </c>
      <c r="F648" t="inlineStr">
        <is>
          <t>HALLANDS LÄN</t>
        </is>
      </c>
      <c r="G648" t="inlineStr">
        <is>
          <t>FALKENBERG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46281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46281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46281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46281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46281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46281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46281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46281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46281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46281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7248-2021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44466</v>
      </c>
      <c r="E659" s="1" t="n">
        <v>46281</v>
      </c>
      <c r="F659" t="inlineStr">
        <is>
          <t>HALLANDS LÄN</t>
        </is>
      </c>
      <c r="G659" t="inlineStr">
        <is>
          <t>FALKENBERG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557-2024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45349</v>
      </c>
      <c r="E660" s="1" t="n">
        <v>46281</v>
      </c>
      <c r="F660" t="inlineStr">
        <is>
          <t>HALLANDS LÄN</t>
        </is>
      </c>
      <c r="G660" t="inlineStr">
        <is>
          <t>FALKENBERG</t>
        </is>
      </c>
      <c r="I660" t="n">
        <v>20.6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625-2024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46281</v>
      </c>
      <c r="F661" t="inlineStr">
        <is>
          <t>HALLANDS LÄN</t>
        </is>
      </c>
      <c r="G661" t="inlineStr">
        <is>
          <t>FALKENBERG</t>
        </is>
      </c>
      <c r="I661" t="n">
        <v>45.6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1742-2024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45435</v>
      </c>
      <c r="E662" s="1" t="n">
        <v>46281</v>
      </c>
      <c r="F662" t="inlineStr">
        <is>
          <t>HALLANDS LÄN</t>
        </is>
      </c>
      <c r="G662" t="inlineStr">
        <is>
          <t>FALKENBERG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794-2024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46281</v>
      </c>
      <c r="F663" t="inlineStr">
        <is>
          <t>HALLANDS LÄN</t>
        </is>
      </c>
      <c r="G663" t="inlineStr">
        <is>
          <t>FALKENBERG</t>
        </is>
      </c>
      <c r="I663" t="n">
        <v>33.4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7247-2021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46281</v>
      </c>
      <c r="F664" t="inlineStr">
        <is>
          <t>HALLANDS LÄN</t>
        </is>
      </c>
      <c r="G664" t="inlineStr">
        <is>
          <t>FALKENBERG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4192-2024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45580</v>
      </c>
      <c r="E665" s="1" t="n">
        <v>46281</v>
      </c>
      <c r="F665" t="inlineStr">
        <is>
          <t>HALLANDS LÄN</t>
        </is>
      </c>
      <c r="G665" t="inlineStr">
        <is>
          <t>FALKENBERG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793-2024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46281</v>
      </c>
      <c r="F666" t="inlineStr">
        <is>
          <t>HALLANDS LÄN</t>
        </is>
      </c>
      <c r="G666" t="inlineStr">
        <is>
          <t>FALKENBERG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403-2024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45335</v>
      </c>
      <c r="E667" s="1" t="n">
        <v>46281</v>
      </c>
      <c r="F667" t="inlineStr">
        <is>
          <t>HALLANDS LÄN</t>
        </is>
      </c>
      <c r="G667" t="inlineStr">
        <is>
          <t>FALKENBERG</t>
        </is>
      </c>
      <c r="I667" t="n">
        <v>19.3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3407-2024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45534</v>
      </c>
      <c r="E668" s="1" t="n">
        <v>46281</v>
      </c>
      <c r="F668" t="inlineStr">
        <is>
          <t>HALLANDS LÄN</t>
        </is>
      </c>
      <c r="G668" t="inlineStr">
        <is>
          <t>FALKENBERG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470-2023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44967</v>
      </c>
      <c r="E669" s="1" t="n">
        <v>46281</v>
      </c>
      <c r="F669" t="inlineStr">
        <is>
          <t>HALLANDS LÄN</t>
        </is>
      </c>
      <c r="G669" t="inlineStr">
        <is>
          <t>FALKENBERG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616-2024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46281</v>
      </c>
      <c r="F670" t="inlineStr">
        <is>
          <t>HALLANDS LÄN</t>
        </is>
      </c>
      <c r="G670" t="inlineStr">
        <is>
          <t>FALKENBERG</t>
        </is>
      </c>
      <c r="I670" t="n">
        <v>70.59999999999999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8081-2021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44489</v>
      </c>
      <c r="E671" s="1" t="n">
        <v>46281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1009-2025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45744</v>
      </c>
      <c r="E672" s="1" t="n">
        <v>46281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1008-2025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46281</v>
      </c>
      <c r="F673" t="inlineStr">
        <is>
          <t>HALLANDS LÄN</t>
        </is>
      </c>
      <c r="G673" t="inlineStr">
        <is>
          <t>FALKENBERG</t>
        </is>
      </c>
      <c r="I673" t="n">
        <v>13.8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1073-2025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45750</v>
      </c>
      <c r="E674" s="1" t="n">
        <v>46281</v>
      </c>
      <c r="F674" t="inlineStr">
        <is>
          <t>HALLANDS LÄN</t>
        </is>
      </c>
      <c r="G674" t="inlineStr">
        <is>
          <t>FALKENBERG</t>
        </is>
      </c>
      <c r="I674" t="n">
        <v>21.5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1154-2025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45756</v>
      </c>
      <c r="E675" s="1" t="n">
        <v>46281</v>
      </c>
      <c r="F675" t="inlineStr">
        <is>
          <t>HALLANDS LÄN</t>
        </is>
      </c>
      <c r="G675" t="inlineStr">
        <is>
          <t>FALKENBERG</t>
        </is>
      </c>
      <c r="I675" t="n">
        <v>17.8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46281</v>
      </c>
      <c r="F676" t="inlineStr">
        <is>
          <t>HALLANDS LÄN</t>
        </is>
      </c>
      <c r="G676" t="inlineStr">
        <is>
          <t>FALKENBERG</t>
        </is>
      </c>
      <c r="I676" t="n">
        <v>40.4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2536-2025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45910</v>
      </c>
      <c r="E677" s="1" t="n">
        <v>46281</v>
      </c>
      <c r="F677" t="inlineStr">
        <is>
          <t>HALLANDS LÄN</t>
        </is>
      </c>
      <c r="G677" t="inlineStr">
        <is>
          <t>FALKENBERG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46020</v>
      </c>
      <c r="E678" s="1" t="n">
        <v>46281</v>
      </c>
      <c r="F678" t="inlineStr">
        <is>
          <t>HALLANDS LÄN</t>
        </is>
      </c>
      <c r="G678" t="inlineStr">
        <is>
          <t>FALKENBERG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46042</v>
      </c>
      <c r="E679" s="1" t="n">
        <v>46281</v>
      </c>
      <c r="F679" t="inlineStr">
        <is>
          <t>HALLANDS LÄN</t>
        </is>
      </c>
      <c r="G679" t="inlineStr">
        <is>
          <t>FALKENBERG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313-2026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46058</v>
      </c>
      <c r="E680" s="1" t="n">
        <v>46281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1015-2026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46122</v>
      </c>
      <c r="E681" s="1" t="n">
        <v>46281</v>
      </c>
      <c r="F681" t="inlineStr">
        <is>
          <t>HALLANDS LÄN</t>
        </is>
      </c>
      <c r="G681" t="inlineStr">
        <is>
          <t>FALKENBERG</t>
        </is>
      </c>
      <c r="I681" t="n">
        <v>24.7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1401-2026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46281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46281</v>
      </c>
      <c r="F683" t="inlineStr">
        <is>
          <t>HALLANDS LÄN</t>
        </is>
      </c>
      <c r="G683" t="inlineStr">
        <is>
          <t>FALKENBERG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1399-2026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46281</v>
      </c>
      <c r="F684" t="inlineStr">
        <is>
          <t>HALLANDS LÄN</t>
        </is>
      </c>
      <c r="G684" t="inlineStr">
        <is>
          <t>FALKENBERG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1397-2026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46281</v>
      </c>
      <c r="F685" t="inlineStr">
        <is>
          <t>HALLANDS LÄN</t>
        </is>
      </c>
      <c r="G685" t="inlineStr">
        <is>
          <t>FALKENBERG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1442-2026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46160</v>
      </c>
      <c r="E686" s="1" t="n">
        <v>46281</v>
      </c>
      <c r="F686" t="inlineStr">
        <is>
          <t>HALLANDS LÄN</t>
        </is>
      </c>
      <c r="G686" t="inlineStr">
        <is>
          <t>FALKENBERG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2002-2026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46206</v>
      </c>
      <c r="E687" s="1" t="n">
        <v>46281</v>
      </c>
      <c r="F687" t="inlineStr">
        <is>
          <t>HALLANDS LÄN</t>
        </is>
      </c>
      <c r="G687" t="inlineStr">
        <is>
          <t>FALKENBERG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2183-2026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46253</v>
      </c>
      <c r="E688" s="1" t="n">
        <v>46281</v>
      </c>
      <c r="F688" t="inlineStr">
        <is>
          <t>HALLANDS LÄN</t>
        </is>
      </c>
      <c r="G688" t="inlineStr">
        <is>
          <t>FALKENBERG</t>
        </is>
      </c>
      <c r="H688" t="inlineStr">
        <is>
          <t>Bergvik skog väst AB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2026-09-16T02:01:33Z</dcterms:created>
  <dcterms:modified xmlns:dcterms="http://purl.org/dc/terms/" xmlns:xsi="http://www.w3.org/2001/XMLSchema-instance" xsi:type="dcterms:W3CDTF">2026-09-16T02:01:34Z</dcterms:modified>
</cp:coreProperties>
</file>