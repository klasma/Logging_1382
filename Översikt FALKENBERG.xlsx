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46256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46256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46256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46256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46256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46256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46256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46256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46256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46256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46256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46256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46256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46256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46256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46256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46256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46256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46256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46256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46256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46256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46256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62755-2022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44926</v>
      </c>
      <c r="E26" s="1" t="n">
        <v>46256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9.4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Stjärnstarr</t>
        </is>
      </c>
      <c r="W26">
        <f>HYPERLINK("https://klasma.github.io/Logging_1382/artfynd/A 62755-2022 artfynd.xlsx", "A 62755-2022")</f>
        <v/>
      </c>
      <c r="X26">
        <f>HYPERLINK("https://klasma.github.io/Logging_1382/kartor/A 62755-2022 karta.png", "A 62755-2022")</f>
        <v/>
      </c>
      <c r="Y26">
        <f>HYPERLINK("https://klasma.github.io/Logging_1382/kartor_geotiff/A 62755-2022 georefererad karta.tif", "A 62755-2022")</f>
        <v/>
      </c>
      <c r="AA26">
        <f>HYPERLINK("https://klasma.github.io/Logging_1382/klagomål/A 62755-2022 FSC-klagomål.docx", "A 62755-2022")</f>
        <v/>
      </c>
      <c r="AB26">
        <f>HYPERLINK("https://klasma.github.io/Logging_1382/klagomålsmail/A 62755-2022 FSC-klagomål mail.docx", "A 62755-2022")</f>
        <v/>
      </c>
      <c r="AC26">
        <f>HYPERLINK("https://klasma.github.io/Logging_1382/tillsyn/A 62755-2022 tillsynsbegäran.docx", "A 62755-2022")</f>
        <v/>
      </c>
      <c r="AD26">
        <f>HYPERLINK("https://klasma.github.io/Logging_1382/tillsynsmail/A 62755-2022 tillsynsbegäran mail.docx", "A 62755-2022")</f>
        <v/>
      </c>
    </row>
    <row r="27" ht="15" customHeight="1">
      <c r="A27" t="inlineStr">
        <is>
          <t>A 46059-2023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46256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46059-2023 artfynd.xlsx", "A 46059-2023")</f>
        <v/>
      </c>
      <c r="X27">
        <f>HYPERLINK("https://klasma.github.io/Logging_1382/kartor/A 46059-2023 karta.png", "A 46059-2023")</f>
        <v/>
      </c>
      <c r="Y27">
        <f>HYPERLINK("https://klasma.github.io/Logging_1382/kartor_geotiff/A 46059-2023 georefererad karta.tif", "A 46059-2023")</f>
        <v/>
      </c>
      <c r="AA27">
        <f>HYPERLINK("https://klasma.github.io/Logging_1382/klagomål/A 46059-2023 FSC-klagomål.docx", "A 46059-2023")</f>
        <v/>
      </c>
      <c r="AB27">
        <f>HYPERLINK("https://klasma.github.io/Logging_1382/klagomålsmail/A 46059-2023 FSC-klagomål mail.docx", "A 46059-2023")</f>
        <v/>
      </c>
      <c r="AC27">
        <f>HYPERLINK("https://klasma.github.io/Logging_1382/tillsyn/A 46059-2023 tillsynsbegäran.docx", "A 46059-2023")</f>
        <v/>
      </c>
      <c r="AD27">
        <f>HYPERLINK("https://klasma.github.io/Logging_1382/tillsynsmail/A 46059-2023 tillsynsbegäran mail.docx", "A 46059-2023")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46256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46256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46256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46256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46256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Lax</t>
        </is>
      </c>
      <c r="W32">
        <f>HYPERLINK("https://klasma.github.io/Logging_1382/artfynd/A 45977-2024 artfynd.xlsx", "A 45977-2024")</f>
        <v/>
      </c>
      <c r="X32">
        <f>HYPERLINK("https://klasma.github.io/Logging_1382/kartor/A 45977-2024 karta.png", "A 45977-2024")</f>
        <v/>
      </c>
      <c r="Y32">
        <f>HYPERLINK("https://klasma.github.io/Logging_1382/kartor_geotiff/A 45977-2024 georefererad karta.tif", "A 45977-2024")</f>
        <v/>
      </c>
      <c r="AA32">
        <f>HYPERLINK("https://klasma.github.io/Logging_1382/klagomål/A 45977-2024 FSC-klagomål.docx", "A 45977-2024")</f>
        <v/>
      </c>
      <c r="AB32">
        <f>HYPERLINK("https://klasma.github.io/Logging_1382/klagomålsmail/A 45977-2024 FSC-klagomål mail.docx", "A 45977-2024")</f>
        <v/>
      </c>
      <c r="AC32">
        <f>HYPERLINK("https://klasma.github.io/Logging_1382/tillsyn/A 45977-2024 tillsynsbegäran.docx", "A 45977-2024")</f>
        <v/>
      </c>
      <c r="AD32">
        <f>HYPERLINK("https://klasma.github.io/Logging_1382/tillsynsmail/A 45977-2024 tillsynsbegäran mail.docx", "A 45977-2024")</f>
        <v/>
      </c>
    </row>
    <row r="33" ht="15" customHeight="1">
      <c r="A33" t="inlineStr">
        <is>
          <t>A 41802-2024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46256</v>
      </c>
      <c r="F33" t="inlineStr">
        <is>
          <t>HALLANDS LÄN</t>
        </is>
      </c>
      <c r="G33" t="inlineStr">
        <is>
          <t>FALKENBERG</t>
        </is>
      </c>
      <c r="I33" t="n">
        <v>1.6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HYPERLINK("https://klasma.github.io/Logging_1382/artfynd/A 41802-2024 artfynd.xlsx", "A 41802-2024")</f>
        <v/>
      </c>
      <c r="X33">
        <f>HYPERLINK("https://klasma.github.io/Logging_1382/kartor/A 41802-2024 karta.png", "A 41802-2024")</f>
        <v/>
      </c>
      <c r="Y33">
        <f>HYPERLINK("https://klasma.github.io/Logging_1382/kartor_geotiff/A 41802-2024 georefererad karta.tif", "A 41802-2024")</f>
        <v/>
      </c>
      <c r="AA33">
        <f>HYPERLINK("https://klasma.github.io/Logging_1382/klagomål/A 41802-2024 FSC-klagomål.docx", "A 41802-2024")</f>
        <v/>
      </c>
      <c r="AB33">
        <f>HYPERLINK("https://klasma.github.io/Logging_1382/klagomålsmail/A 41802-2024 FSC-klagomål mail.docx", "A 41802-2024")</f>
        <v/>
      </c>
      <c r="AC33">
        <f>HYPERLINK("https://klasma.github.io/Logging_1382/tillsyn/A 41802-2024 tillsynsbegäran.docx", "A 41802-2024")</f>
        <v/>
      </c>
      <c r="AD33">
        <f>HYPERLINK("https://klasma.github.io/Logging_1382/tillsynsmail/A 41802-2024 tillsynsbegäran mail.docx", "A 41802-2024")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46256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46256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46256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46256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46256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46256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46256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46256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46256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46256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46256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46256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46256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2755-2022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44705</v>
      </c>
      <c r="E47" s="1" t="n">
        <v>46256</v>
      </c>
      <c r="F47" t="inlineStr">
        <is>
          <t>HALLANDS LÄN</t>
        </is>
      </c>
      <c r="G47" t="inlineStr">
        <is>
          <t>FALKENBERG</t>
        </is>
      </c>
      <c r="I47" t="n">
        <v>0.1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Rostfläck</t>
        </is>
      </c>
      <c r="W47">
        <f>HYPERLINK("https://klasma.github.io/Logging_1382/artfynd/S 2755-2022 artfynd.xlsx", "S 2755-2022")</f>
        <v/>
      </c>
      <c r="X47">
        <f>HYPERLINK("https://klasma.github.io/Logging_1382/kartor/S 2755-2022 karta.png", "S 2755-2022")</f>
        <v/>
      </c>
      <c r="Y47">
        <f>HYPERLINK("https://klasma.github.io/Logging_1382/kartor_geotiff/S 2755-2022 georefererad karta.tif", "S 2755-2022")</f>
        <v/>
      </c>
      <c r="AA47">
        <f>HYPERLINK("https://klasma.github.io/Logging_1382/klagomål/S 2755-2022 FSC-klagomål.docx", "S 2755-2022")</f>
        <v/>
      </c>
      <c r="AB47">
        <f>HYPERLINK("https://klasma.github.io/Logging_1382/klagomålsmail/S 2755-2022 FSC-klagomål mail.docx", "S 2755-2022")</f>
        <v/>
      </c>
      <c r="AC47">
        <f>HYPERLINK("https://klasma.github.io/Logging_1382/tillsyn/S 2755-2022 tillsynsbegäran.docx", "S 2755-2022")</f>
        <v/>
      </c>
      <c r="AD47">
        <f>HYPERLINK("https://klasma.github.io/Logging_1382/tillsynsmail/S 2755-2022 tillsynsbegäran mail.docx", "S 2755-2022")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46256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46256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46256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S 2202-2026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46255</v>
      </c>
      <c r="E51" s="1" t="n">
        <v>46256</v>
      </c>
      <c r="F51" t="inlineStr">
        <is>
          <t>HALLANDS LÄN</t>
        </is>
      </c>
      <c r="G51" t="inlineStr">
        <is>
          <t>FALKENBERG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Koralltaggsvamp</t>
        </is>
      </c>
      <c r="W51">
        <f>HYPERLINK("https://klasma.github.io/Logging_1382/artfynd/S 2202-2026 artfynd.xlsx", "S 2202-2026")</f>
        <v/>
      </c>
      <c r="X51">
        <f>HYPERLINK("https://klasma.github.io/Logging_1382/kartor/S 2202-2026 karta.png", "S 2202-2026")</f>
        <v/>
      </c>
      <c r="Y51">
        <f>HYPERLINK("https://klasma.github.io/Logging_1382/kartor_geotiff/S 2202-2026 georefererad karta.tif", "S 2202-2026")</f>
        <v/>
      </c>
      <c r="AA51">
        <f>HYPERLINK("https://klasma.github.io/Logging_1382/klagomål/S 2202-2026 FSC-klagomål.docx", "S 2202-2026")</f>
        <v/>
      </c>
      <c r="AB51">
        <f>HYPERLINK("https://klasma.github.io/Logging_1382/klagomålsmail/S 2202-2026 FSC-klagomål mail.docx", "S 2202-2026")</f>
        <v/>
      </c>
      <c r="AC51">
        <f>HYPERLINK("https://klasma.github.io/Logging_1382/tillsyn/S 2202-2026 tillsynsbegäran.docx", "S 2202-2026")</f>
        <v/>
      </c>
      <c r="AD51">
        <f>HYPERLINK("https://klasma.github.io/Logging_1382/tillsynsmail/S 2202-2026 tillsynsbegäran mail.docx", "S 2202-2026")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46256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46256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46256</v>
      </c>
      <c r="F54" t="inlineStr">
        <is>
          <t>HALLANDS LÄN</t>
        </is>
      </c>
      <c r="G54" t="inlineStr">
        <is>
          <t>FALKENBERG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46256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46256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46256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46256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46256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46256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46256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46256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46256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46256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46256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46256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46256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46256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46256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46256</v>
      </c>
      <c r="F70" t="inlineStr">
        <is>
          <t>HALLANDS LÄN</t>
        </is>
      </c>
      <c r="G70" t="inlineStr">
        <is>
          <t>FALKENBERG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46256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46256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46256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44430</v>
      </c>
      <c r="E74" s="1" t="n">
        <v>46256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46256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46256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46256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46256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46256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46256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46256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46256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46256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46256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46256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46256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46256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46256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46256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46256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46256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46256</v>
      </c>
      <c r="F92" t="inlineStr">
        <is>
          <t>HALLANDS LÄN</t>
        </is>
      </c>
      <c r="G92" t="inlineStr">
        <is>
          <t>FALKENBERG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46256</v>
      </c>
      <c r="F93" t="inlineStr">
        <is>
          <t>HALLANDS LÄN</t>
        </is>
      </c>
      <c r="G93" t="inlineStr">
        <is>
          <t>FALKENBERG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44545</v>
      </c>
      <c r="E94" s="1" t="n">
        <v>46256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46256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46256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46256</v>
      </c>
      <c r="F97" t="inlineStr">
        <is>
          <t>HALLANDS LÄN</t>
        </is>
      </c>
      <c r="G97" t="inlineStr">
        <is>
          <t>FALKENBERG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46256</v>
      </c>
      <c r="F98" t="inlineStr">
        <is>
          <t>HALLANDS LÄN</t>
        </is>
      </c>
      <c r="G98" t="inlineStr">
        <is>
          <t>FALKENBERG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46256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46256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46256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46256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46256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46256</v>
      </c>
      <c r="F104" t="inlineStr">
        <is>
          <t>HALLANDS LÄN</t>
        </is>
      </c>
      <c r="G104" t="inlineStr">
        <is>
          <t>FALKENBERG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46256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46256</v>
      </c>
      <c r="F106" t="inlineStr">
        <is>
          <t>HALLANDS LÄN</t>
        </is>
      </c>
      <c r="G106" t="inlineStr">
        <is>
          <t>FALKENBERG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46256</v>
      </c>
      <c r="F107" t="inlineStr">
        <is>
          <t>HALLANDS LÄN</t>
        </is>
      </c>
      <c r="G107" t="inlineStr">
        <is>
          <t>FALKENBERG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52477-2021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44466</v>
      </c>
      <c r="E108" s="1" t="n">
        <v>46256</v>
      </c>
      <c r="F108" t="inlineStr">
        <is>
          <t>HALLANDS LÄN</t>
        </is>
      </c>
      <c r="G108" t="inlineStr">
        <is>
          <t>FALKENBERG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46256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46256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46256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46256</v>
      </c>
      <c r="F112" t="inlineStr">
        <is>
          <t>HALLANDS LÄN</t>
        </is>
      </c>
      <c r="G112" t="inlineStr">
        <is>
          <t>FALKENBERG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46256</v>
      </c>
      <c r="F113" t="inlineStr">
        <is>
          <t>HALLANDS LÄN</t>
        </is>
      </c>
      <c r="G113" t="inlineStr">
        <is>
          <t>FALKENBERG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44908</v>
      </c>
      <c r="E114" s="1" t="n">
        <v>46256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46256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46256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44642</v>
      </c>
      <c r="E117" s="1" t="n">
        <v>46256</v>
      </c>
      <c r="F117" t="inlineStr">
        <is>
          <t>HALLANDS LÄN</t>
        </is>
      </c>
      <c r="G117" t="inlineStr">
        <is>
          <t>FALKENBERG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46256</v>
      </c>
      <c r="F118" t="inlineStr">
        <is>
          <t>HALLANDS LÄN</t>
        </is>
      </c>
      <c r="G118" t="inlineStr">
        <is>
          <t>FALKENBERG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71743-2021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46256</v>
      </c>
      <c r="F119" t="inlineStr">
        <is>
          <t>HALLANDS LÄN</t>
        </is>
      </c>
      <c r="G119" t="inlineStr">
        <is>
          <t>FALKENBERG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46256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46256</v>
      </c>
      <c r="F121" t="inlineStr">
        <is>
          <t>HALLANDS LÄN</t>
        </is>
      </c>
      <c r="G121" t="inlineStr">
        <is>
          <t>FALKENBERG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46256</v>
      </c>
      <c r="F122" t="inlineStr">
        <is>
          <t>HALLANDS LÄN</t>
        </is>
      </c>
      <c r="G122" t="inlineStr">
        <is>
          <t>FALKENBERG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46256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46256</v>
      </c>
      <c r="F124" t="inlineStr">
        <is>
          <t>HALLANDS LÄN</t>
        </is>
      </c>
      <c r="G124" t="inlineStr">
        <is>
          <t>FALKENBERG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46256</v>
      </c>
      <c r="F125" t="inlineStr">
        <is>
          <t>HALLANDS LÄN</t>
        </is>
      </c>
      <c r="G125" t="inlineStr">
        <is>
          <t>FALKENBERG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45782</v>
      </c>
      <c r="E126" s="1" t="n">
        <v>46256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46256</v>
      </c>
      <c r="F127" t="inlineStr">
        <is>
          <t>HALLANDS LÄN</t>
        </is>
      </c>
      <c r="G127" t="inlineStr">
        <is>
          <t>FALKENBERG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71732-2021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46256</v>
      </c>
      <c r="F128" t="inlineStr">
        <is>
          <t>HALLANDS LÄN</t>
        </is>
      </c>
      <c r="G128" t="inlineStr">
        <is>
          <t>FALKENBERG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46256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46256</v>
      </c>
      <c r="F130" t="inlineStr">
        <is>
          <t>HALLANDS LÄN</t>
        </is>
      </c>
      <c r="G130" t="inlineStr">
        <is>
          <t>FALKENBERG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46256</v>
      </c>
      <c r="F131" t="inlineStr">
        <is>
          <t>HALLANDS LÄN</t>
        </is>
      </c>
      <c r="G131" t="inlineStr">
        <is>
          <t>FALKENBERG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46256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46256</v>
      </c>
      <c r="F133" t="inlineStr">
        <is>
          <t>HALLANDS LÄN</t>
        </is>
      </c>
      <c r="G133" t="inlineStr">
        <is>
          <t>FALKENBERG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46256</v>
      </c>
      <c r="F134" t="inlineStr">
        <is>
          <t>HALLANDS LÄN</t>
        </is>
      </c>
      <c r="G134" t="inlineStr">
        <is>
          <t>FALKENBERG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46256</v>
      </c>
      <c r="F135" t="inlineStr">
        <is>
          <t>HALLANDS LÄN</t>
        </is>
      </c>
      <c r="G135" t="inlineStr">
        <is>
          <t>FALKENBERG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46256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46256</v>
      </c>
      <c r="F137" t="inlineStr">
        <is>
          <t>HALLANDS LÄN</t>
        </is>
      </c>
      <c r="G137" t="inlineStr">
        <is>
          <t>FALKENBERG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46256</v>
      </c>
      <c r="F138" t="inlineStr">
        <is>
          <t>HALLANDS LÄN</t>
        </is>
      </c>
      <c r="G138" t="inlineStr">
        <is>
          <t>FALKENBERG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46256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46256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46256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44584</v>
      </c>
      <c r="E142" s="1" t="n">
        <v>46256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44576</v>
      </c>
      <c r="E143" s="1" t="n">
        <v>46256</v>
      </c>
      <c r="F143" t="inlineStr">
        <is>
          <t>HALLANDS LÄN</t>
        </is>
      </c>
      <c r="G143" t="inlineStr">
        <is>
          <t>FALKENBERG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46256</v>
      </c>
      <c r="F144" t="inlineStr">
        <is>
          <t>HALLANDS LÄN</t>
        </is>
      </c>
      <c r="G144" t="inlineStr">
        <is>
          <t>FALKENBERG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46256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46256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46256</v>
      </c>
      <c r="F147" t="inlineStr">
        <is>
          <t>HALLANDS LÄN</t>
        </is>
      </c>
      <c r="G147" t="inlineStr">
        <is>
          <t>FALKENBERG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46256</v>
      </c>
      <c r="F148" t="inlineStr">
        <is>
          <t>HALLANDS LÄN</t>
        </is>
      </c>
      <c r="G148" t="inlineStr">
        <is>
          <t>FALKENBERG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46256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46256</v>
      </c>
      <c r="F150" t="inlineStr">
        <is>
          <t>HALLANDS LÄN</t>
        </is>
      </c>
      <c r="G150" t="inlineStr">
        <is>
          <t>FALKENBERG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46256</v>
      </c>
      <c r="F151" t="inlineStr">
        <is>
          <t>HALLANDS LÄN</t>
        </is>
      </c>
      <c r="G151" t="inlineStr">
        <is>
          <t>FALKENBERG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46256</v>
      </c>
      <c r="F152" t="inlineStr">
        <is>
          <t>HALLANDS LÄN</t>
        </is>
      </c>
      <c r="G152" t="inlineStr">
        <is>
          <t>FALKENBERG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46256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46256</v>
      </c>
      <c r="F154" t="inlineStr">
        <is>
          <t>HALLANDS LÄN</t>
        </is>
      </c>
      <c r="G154" t="inlineStr">
        <is>
          <t>FALKENBERG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46256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46256</v>
      </c>
      <c r="F156" t="inlineStr">
        <is>
          <t>HALLANDS LÄN</t>
        </is>
      </c>
      <c r="G156" t="inlineStr">
        <is>
          <t>FALKENBERG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46256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45546</v>
      </c>
      <c r="E158" s="1" t="n">
        <v>46256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46256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46256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46256</v>
      </c>
      <c r="F161" t="inlineStr">
        <is>
          <t>HALLANDS LÄN</t>
        </is>
      </c>
      <c r="G161" t="inlineStr">
        <is>
          <t>FALKENBERG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46256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42678-2025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45908</v>
      </c>
      <c r="E163" s="1" t="n">
        <v>46256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46256</v>
      </c>
      <c r="F164" t="inlineStr">
        <is>
          <t>HALLANDS LÄN</t>
        </is>
      </c>
      <c r="G164" t="inlineStr">
        <is>
          <t>FALKENBERG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46256</v>
      </c>
      <c r="F165" t="inlineStr">
        <is>
          <t>HALLANDS LÄN</t>
        </is>
      </c>
      <c r="G165" t="inlineStr">
        <is>
          <t>FALKENBERG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46256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46256</v>
      </c>
      <c r="F167" t="inlineStr">
        <is>
          <t>HALLANDS LÄN</t>
        </is>
      </c>
      <c r="G167" t="inlineStr">
        <is>
          <t>FALKENBERG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46256</v>
      </c>
      <c r="F168" t="inlineStr">
        <is>
          <t>HALLANDS LÄN</t>
        </is>
      </c>
      <c r="G168" t="inlineStr">
        <is>
          <t>FALKENBERG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44848</v>
      </c>
      <c r="E169" s="1" t="n">
        <v>46256</v>
      </c>
      <c r="F169" t="inlineStr">
        <is>
          <t>HALLANDS LÄN</t>
        </is>
      </c>
      <c r="G169" t="inlineStr">
        <is>
          <t>FALKENBERG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46256</v>
      </c>
      <c r="F170" t="inlineStr">
        <is>
          <t>HALLANDS LÄN</t>
        </is>
      </c>
      <c r="G170" t="inlineStr">
        <is>
          <t>FALKENBERG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46256</v>
      </c>
      <c r="F171" t="inlineStr">
        <is>
          <t>HALLANDS LÄN</t>
        </is>
      </c>
      <c r="G171" t="inlineStr">
        <is>
          <t>FALKENBERG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46256</v>
      </c>
      <c r="F172" t="inlineStr">
        <is>
          <t>HALLANDS LÄN</t>
        </is>
      </c>
      <c r="G172" t="inlineStr">
        <is>
          <t>FALKENBERG</t>
        </is>
      </c>
      <c r="H172" t="inlineStr">
        <is>
          <t>Bergvik skog väst AB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46256</v>
      </c>
      <c r="F173" t="inlineStr">
        <is>
          <t>HALLANDS LÄN</t>
        </is>
      </c>
      <c r="G173" t="inlineStr">
        <is>
          <t>FALKENBERG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45751</v>
      </c>
      <c r="E174" s="1" t="n">
        <v>46256</v>
      </c>
      <c r="F174" t="inlineStr">
        <is>
          <t>HALLANDS LÄN</t>
        </is>
      </c>
      <c r="G174" t="inlineStr">
        <is>
          <t>FALKENBERG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46256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46256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46256</v>
      </c>
      <c r="F177" t="inlineStr">
        <is>
          <t>HALLANDS LÄN</t>
        </is>
      </c>
      <c r="G177" t="inlineStr">
        <is>
          <t>FALKENBERG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46256</v>
      </c>
      <c r="F178" t="inlineStr">
        <is>
          <t>HALLANDS LÄN</t>
        </is>
      </c>
      <c r="G178" t="inlineStr">
        <is>
          <t>FALKENBERG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46256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46256</v>
      </c>
      <c r="F180" t="inlineStr">
        <is>
          <t>HALLANDS LÄN</t>
        </is>
      </c>
      <c r="G180" t="inlineStr">
        <is>
          <t>FALKENBERG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45044</v>
      </c>
      <c r="E181" s="1" t="n">
        <v>46256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46256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46256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44600</v>
      </c>
      <c r="E184" s="1" t="n">
        <v>46256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46256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46256</v>
      </c>
      <c r="F186" t="inlineStr">
        <is>
          <t>HALLANDS LÄN</t>
        </is>
      </c>
      <c r="G186" t="inlineStr">
        <is>
          <t>FALKENBERG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46256</v>
      </c>
      <c r="F187" t="inlineStr">
        <is>
          <t>HALLANDS LÄN</t>
        </is>
      </c>
      <c r="G187" t="inlineStr">
        <is>
          <t>FALKENBERG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46256</v>
      </c>
      <c r="F188" t="inlineStr">
        <is>
          <t>HALLANDS LÄN</t>
        </is>
      </c>
      <c r="G188" t="inlineStr">
        <is>
          <t>FALKENBERG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46256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46256</v>
      </c>
      <c r="F190" t="inlineStr">
        <is>
          <t>HALLANDS LÄN</t>
        </is>
      </c>
      <c r="G190" t="inlineStr">
        <is>
          <t>FALKENBERG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46256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46256</v>
      </c>
      <c r="F192" t="inlineStr">
        <is>
          <t>HALLANDS LÄN</t>
        </is>
      </c>
      <c r="G192" t="inlineStr">
        <is>
          <t>FALKENBERG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46256</v>
      </c>
      <c r="F193" t="inlineStr">
        <is>
          <t>HALLANDS LÄN</t>
        </is>
      </c>
      <c r="G193" t="inlineStr">
        <is>
          <t>FALKENBERG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46256</v>
      </c>
      <c r="F194" t="inlineStr">
        <is>
          <t>HALLANDS LÄN</t>
        </is>
      </c>
      <c r="G194" t="inlineStr">
        <is>
          <t>FALKENBERG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44963</v>
      </c>
      <c r="E195" s="1" t="n">
        <v>46256</v>
      </c>
      <c r="F195" t="inlineStr">
        <is>
          <t>HALLANDS LÄN</t>
        </is>
      </c>
      <c r="G195" t="inlineStr">
        <is>
          <t>FALKENBERG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46256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46256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46256</v>
      </c>
      <c r="F198" t="inlineStr">
        <is>
          <t>HALLANDS LÄN</t>
        </is>
      </c>
      <c r="G198" t="inlineStr">
        <is>
          <t>FALKENBERG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46256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46256</v>
      </c>
      <c r="F200" t="inlineStr">
        <is>
          <t>HALLANDS LÄN</t>
        </is>
      </c>
      <c r="G200" t="inlineStr">
        <is>
          <t>FALKENBERG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45714</v>
      </c>
      <c r="E201" s="1" t="n">
        <v>46256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46256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46256</v>
      </c>
      <c r="F203" t="inlineStr">
        <is>
          <t>HALLANDS LÄN</t>
        </is>
      </c>
      <c r="G203" t="inlineStr">
        <is>
          <t>FALKENBERG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46256</v>
      </c>
      <c r="F204" t="inlineStr">
        <is>
          <t>HALLANDS LÄN</t>
        </is>
      </c>
      <c r="G204" t="inlineStr">
        <is>
          <t>FALKENBERG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46256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46256</v>
      </c>
      <c r="F206" t="inlineStr">
        <is>
          <t>HALLANDS LÄN</t>
        </is>
      </c>
      <c r="G206" t="inlineStr">
        <is>
          <t>FALKENBERG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46256</v>
      </c>
      <c r="F207" t="inlineStr">
        <is>
          <t>HALLANDS LÄN</t>
        </is>
      </c>
      <c r="G207" t="inlineStr">
        <is>
          <t>FALKENBERG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46256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46256</v>
      </c>
      <c r="F209" t="inlineStr">
        <is>
          <t>HALLANDS LÄN</t>
        </is>
      </c>
      <c r="G209" t="inlineStr">
        <is>
          <t>FALKENBERG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44903</v>
      </c>
      <c r="E210" s="1" t="n">
        <v>46256</v>
      </c>
      <c r="F210" t="inlineStr">
        <is>
          <t>HALLANDS LÄN</t>
        </is>
      </c>
      <c r="G210" t="inlineStr">
        <is>
          <t>FALKENBERG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46256</v>
      </c>
      <c r="F211" t="inlineStr">
        <is>
          <t>HALLANDS LÄN</t>
        </is>
      </c>
      <c r="G211" t="inlineStr">
        <is>
          <t>FALKENBERG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46256</v>
      </c>
      <c r="F212" t="inlineStr">
        <is>
          <t>HALLANDS LÄN</t>
        </is>
      </c>
      <c r="G212" t="inlineStr">
        <is>
          <t>FALKENBERG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67744-2021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44525</v>
      </c>
      <c r="E213" s="1" t="n">
        <v>46256</v>
      </c>
      <c r="F213" t="inlineStr">
        <is>
          <t>HALLANDS LÄN</t>
        </is>
      </c>
      <c r="G213" t="inlineStr">
        <is>
          <t>FALKENBERG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46256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46256</v>
      </c>
      <c r="F215" t="inlineStr">
        <is>
          <t>HALLANDS LÄN</t>
        </is>
      </c>
      <c r="G215" t="inlineStr">
        <is>
          <t>FALKENBERG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46256</v>
      </c>
      <c r="F216" t="inlineStr">
        <is>
          <t>HALLANDS LÄN</t>
        </is>
      </c>
      <c r="G216" t="inlineStr">
        <is>
          <t>FALKENBERG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46256</v>
      </c>
      <c r="F217" t="inlineStr">
        <is>
          <t>HALLANDS LÄN</t>
        </is>
      </c>
      <c r="G217" t="inlineStr">
        <is>
          <t>FALKENBERG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46256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46256</v>
      </c>
      <c r="F219" t="inlineStr">
        <is>
          <t>HALLANDS LÄN</t>
        </is>
      </c>
      <c r="G219" t="inlineStr">
        <is>
          <t>FALKENBERG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46256</v>
      </c>
      <c r="F220" t="inlineStr">
        <is>
          <t>HALLANDS LÄN</t>
        </is>
      </c>
      <c r="G220" t="inlineStr">
        <is>
          <t>FALKENBERG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46256</v>
      </c>
      <c r="F221" t="inlineStr">
        <is>
          <t>HALLANDS LÄN</t>
        </is>
      </c>
      <c r="G221" t="inlineStr">
        <is>
          <t>FALKENBERG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46256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46256</v>
      </c>
      <c r="F223" t="inlineStr">
        <is>
          <t>HALLANDS LÄN</t>
        </is>
      </c>
      <c r="G223" t="inlineStr">
        <is>
          <t>FALKENBERG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46256</v>
      </c>
      <c r="F224" t="inlineStr">
        <is>
          <t>HALLANDS LÄN</t>
        </is>
      </c>
      <c r="G224" t="inlineStr">
        <is>
          <t>FALKENBERG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46256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46256</v>
      </c>
      <c r="F226" t="inlineStr">
        <is>
          <t>HALLANDS LÄN</t>
        </is>
      </c>
      <c r="G226" t="inlineStr">
        <is>
          <t>FALKENBERG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46256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45300</v>
      </c>
      <c r="E228" s="1" t="n">
        <v>46256</v>
      </c>
      <c r="F228" t="inlineStr">
        <is>
          <t>HALLANDS LÄN</t>
        </is>
      </c>
      <c r="G228" t="inlineStr">
        <is>
          <t>FALKENBERG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46256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44999</v>
      </c>
      <c r="E230" s="1" t="n">
        <v>46256</v>
      </c>
      <c r="F230" t="inlineStr">
        <is>
          <t>HALLANDS LÄN</t>
        </is>
      </c>
      <c r="G230" t="inlineStr">
        <is>
          <t>FALKENBERG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46256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46256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46256</v>
      </c>
      <c r="F233" t="inlineStr">
        <is>
          <t>HALLANDS LÄN</t>
        </is>
      </c>
      <c r="G233" t="inlineStr">
        <is>
          <t>FALKENBERG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46256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46256</v>
      </c>
      <c r="F235" t="inlineStr">
        <is>
          <t>HALLANDS LÄN</t>
        </is>
      </c>
      <c r="G235" t="inlineStr">
        <is>
          <t>FALKENBERG</t>
        </is>
      </c>
      <c r="H235" t="inlineStr">
        <is>
          <t>Kyrkan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46256</v>
      </c>
      <c r="F236" t="inlineStr">
        <is>
          <t>HALLANDS LÄN</t>
        </is>
      </c>
      <c r="G236" t="inlineStr">
        <is>
          <t>FALKENBERG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46256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46256</v>
      </c>
      <c r="F238" t="inlineStr">
        <is>
          <t>HALLANDS LÄN</t>
        </is>
      </c>
      <c r="G238" t="inlineStr">
        <is>
          <t>FALKENBERG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46256</v>
      </c>
      <c r="F239" t="inlineStr">
        <is>
          <t>HALLANDS LÄN</t>
        </is>
      </c>
      <c r="G239" t="inlineStr">
        <is>
          <t>FALKENBERG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46256</v>
      </c>
      <c r="F240" t="inlineStr">
        <is>
          <t>HALLANDS LÄN</t>
        </is>
      </c>
      <c r="G240" t="inlineStr">
        <is>
          <t>FALKENBERG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46256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46256</v>
      </c>
      <c r="F242" t="inlineStr">
        <is>
          <t>HALLANDS LÄN</t>
        </is>
      </c>
      <c r="G242" t="inlineStr">
        <is>
          <t>FALKENBERG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46256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46256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45001</v>
      </c>
      <c r="E245" s="1" t="n">
        <v>46256</v>
      </c>
      <c r="F245" t="inlineStr">
        <is>
          <t>HALLANDS LÄN</t>
        </is>
      </c>
      <c r="G245" t="inlineStr">
        <is>
          <t>FALKENBERG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46256</v>
      </c>
      <c r="F246" t="inlineStr">
        <is>
          <t>HALLANDS LÄN</t>
        </is>
      </c>
      <c r="G246" t="inlineStr">
        <is>
          <t>FALKENBERG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46256</v>
      </c>
      <c r="F247" t="inlineStr">
        <is>
          <t>HALLANDS LÄN</t>
        </is>
      </c>
      <c r="G247" t="inlineStr">
        <is>
          <t>FALKENBERG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46256</v>
      </c>
      <c r="F248" t="inlineStr">
        <is>
          <t>HALLANDS LÄN</t>
        </is>
      </c>
      <c r="G248" t="inlineStr">
        <is>
          <t>FALKENBERG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46256</v>
      </c>
      <c r="F249" t="inlineStr">
        <is>
          <t>HALLANDS LÄN</t>
        </is>
      </c>
      <c r="G249" t="inlineStr">
        <is>
          <t>FALKENBERG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46256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46256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46256</v>
      </c>
      <c r="F252" t="inlineStr">
        <is>
          <t>HALLANDS LÄN</t>
        </is>
      </c>
      <c r="G252" t="inlineStr">
        <is>
          <t>FALKENBERG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10268-2022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46256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46256</v>
      </c>
      <c r="F254" t="inlineStr">
        <is>
          <t>HALLANDS LÄN</t>
        </is>
      </c>
      <c r="G254" t="inlineStr">
        <is>
          <t>FALKENBERG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46256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46256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46256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46256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46256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46256</v>
      </c>
      <c r="F260" t="inlineStr">
        <is>
          <t>HALLANDS LÄN</t>
        </is>
      </c>
      <c r="G260" t="inlineStr">
        <is>
          <t>FALKENBERG</t>
        </is>
      </c>
      <c r="H260" t="inlineStr">
        <is>
          <t>Kyrkan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46256</v>
      </c>
      <c r="F261" t="inlineStr">
        <is>
          <t>HALLANDS LÄN</t>
        </is>
      </c>
      <c r="G261" t="inlineStr">
        <is>
          <t>FALKENBERG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46256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46256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46256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53801-2025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45960</v>
      </c>
      <c r="E265" s="1" t="n">
        <v>46256</v>
      </c>
      <c r="F265" t="inlineStr">
        <is>
          <t>HALLANDS LÄN</t>
        </is>
      </c>
      <c r="G265" t="inlineStr">
        <is>
          <t>FALKENBERG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46256</v>
      </c>
      <c r="F266" t="inlineStr">
        <is>
          <t>HALLANDS LÄN</t>
        </is>
      </c>
      <c r="G266" t="inlineStr">
        <is>
          <t>FALKENBERG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46256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46256</v>
      </c>
      <c r="F268" t="inlineStr">
        <is>
          <t>HALLANDS LÄN</t>
        </is>
      </c>
      <c r="G268" t="inlineStr">
        <is>
          <t>FALKENBERG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46256</v>
      </c>
      <c r="F269" t="inlineStr">
        <is>
          <t>HALLANDS LÄN</t>
        </is>
      </c>
      <c r="G269" t="inlineStr">
        <is>
          <t>FALKENBERG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46256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46256</v>
      </c>
      <c r="F271" t="inlineStr">
        <is>
          <t>HALLANDS LÄN</t>
        </is>
      </c>
      <c r="G271" t="inlineStr">
        <is>
          <t>FALKENBERG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46256</v>
      </c>
      <c r="F272" t="inlineStr">
        <is>
          <t>HALLANDS LÄN</t>
        </is>
      </c>
      <c r="G272" t="inlineStr">
        <is>
          <t>FALKENBERG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46256</v>
      </c>
      <c r="F273" t="inlineStr">
        <is>
          <t>HALLANDS LÄN</t>
        </is>
      </c>
      <c r="G273" t="inlineStr">
        <is>
          <t>FALKENBERG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46256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73973-2021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44554</v>
      </c>
      <c r="E275" s="1" t="n">
        <v>46256</v>
      </c>
      <c r="F275" t="inlineStr">
        <is>
          <t>HALLANDS LÄN</t>
        </is>
      </c>
      <c r="G275" t="inlineStr">
        <is>
          <t>FALKENBERG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46256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46256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46256</v>
      </c>
      <c r="F278" t="inlineStr">
        <is>
          <t>HALLANDS LÄN</t>
        </is>
      </c>
      <c r="G278" t="inlineStr">
        <is>
          <t>FALKENBERG</t>
        </is>
      </c>
      <c r="H278" t="inlineStr">
        <is>
          <t>Kyrkan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46256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46256</v>
      </c>
      <c r="F280" t="inlineStr">
        <is>
          <t>HALLANDS LÄN</t>
        </is>
      </c>
      <c r="G280" t="inlineStr">
        <is>
          <t>FALKENBERG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46256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46256</v>
      </c>
      <c r="F282" t="inlineStr">
        <is>
          <t>HALLANDS LÄN</t>
        </is>
      </c>
      <c r="G282" t="inlineStr">
        <is>
          <t>FALKENBERG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46256</v>
      </c>
      <c r="F283" t="inlineStr">
        <is>
          <t>HALLANDS LÄN</t>
        </is>
      </c>
      <c r="G283" t="inlineStr">
        <is>
          <t>FALKENBERG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46256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46256</v>
      </c>
      <c r="F285" t="inlineStr">
        <is>
          <t>HALLANDS LÄN</t>
        </is>
      </c>
      <c r="G285" t="inlineStr">
        <is>
          <t>FALKENBERG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46256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46256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46256</v>
      </c>
      <c r="F288" t="inlineStr">
        <is>
          <t>HALLANDS LÄN</t>
        </is>
      </c>
      <c r="G288" t="inlineStr">
        <is>
          <t>FALKENBERG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46256</v>
      </c>
      <c r="F289" t="inlineStr">
        <is>
          <t>HALLANDS LÄN</t>
        </is>
      </c>
      <c r="G289" t="inlineStr">
        <is>
          <t>FALKENBERG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46256</v>
      </c>
      <c r="F290" t="inlineStr">
        <is>
          <t>HALLANDS LÄN</t>
        </is>
      </c>
      <c r="G290" t="inlineStr">
        <is>
          <t>FALKENBERG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46256</v>
      </c>
      <c r="F291" t="inlineStr">
        <is>
          <t>HALLANDS LÄN</t>
        </is>
      </c>
      <c r="G291" t="inlineStr">
        <is>
          <t>FALKENBERG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46256</v>
      </c>
      <c r="F292" t="inlineStr">
        <is>
          <t>HALLANDS LÄN</t>
        </is>
      </c>
      <c r="G292" t="inlineStr">
        <is>
          <t>FALKENBERG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46256</v>
      </c>
      <c r="F293" t="inlineStr">
        <is>
          <t>HALLANDS LÄN</t>
        </is>
      </c>
      <c r="G293" t="inlineStr">
        <is>
          <t>FALKENBERG</t>
        </is>
      </c>
      <c r="H293" t="inlineStr">
        <is>
          <t>Kommuner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46256</v>
      </c>
      <c r="F294" t="inlineStr">
        <is>
          <t>HALLANDS LÄN</t>
        </is>
      </c>
      <c r="G294" t="inlineStr">
        <is>
          <t>FALKENBERG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46256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45300</v>
      </c>
      <c r="E296" s="1" t="n">
        <v>46256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46256</v>
      </c>
      <c r="F297" t="inlineStr">
        <is>
          <t>HALLANDS LÄN</t>
        </is>
      </c>
      <c r="G297" t="inlineStr">
        <is>
          <t>FALKENBERG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46256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46256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46256</v>
      </c>
      <c r="F300" t="inlineStr">
        <is>
          <t>HALLANDS LÄN</t>
        </is>
      </c>
      <c r="G300" t="inlineStr">
        <is>
          <t>FALKENBERG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46256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46256</v>
      </c>
      <c r="F302" t="inlineStr">
        <is>
          <t>HALLANDS LÄN</t>
        </is>
      </c>
      <c r="G302" t="inlineStr">
        <is>
          <t>FALKENBERG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46256</v>
      </c>
      <c r="F303" t="inlineStr">
        <is>
          <t>HALLANDS LÄN</t>
        </is>
      </c>
      <c r="G303" t="inlineStr">
        <is>
          <t>FALKENBERG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46256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46256</v>
      </c>
      <c r="F305" t="inlineStr">
        <is>
          <t>HALLANDS LÄN</t>
        </is>
      </c>
      <c r="G305" t="inlineStr">
        <is>
          <t>FALKENBERG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46256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46256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46256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46256</v>
      </c>
      <c r="F309" t="inlineStr">
        <is>
          <t>HALLANDS LÄN</t>
        </is>
      </c>
      <c r="G309" t="inlineStr">
        <is>
          <t>FALKENBERG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46256</v>
      </c>
      <c r="F310" t="inlineStr">
        <is>
          <t>HALLANDS LÄN</t>
        </is>
      </c>
      <c r="G310" t="inlineStr">
        <is>
          <t>FALKENBERG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18813-2023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45044</v>
      </c>
      <c r="E311" s="1" t="n">
        <v>46256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46256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46256</v>
      </c>
      <c r="F313" t="inlineStr">
        <is>
          <t>HALLANDS LÄN</t>
        </is>
      </c>
      <c r="G313" t="inlineStr">
        <is>
          <t>FALKENBERG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46256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45324</v>
      </c>
      <c r="E315" s="1" t="n">
        <v>46256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44610</v>
      </c>
      <c r="E316" s="1" t="n">
        <v>46256</v>
      </c>
      <c r="F316" t="inlineStr">
        <is>
          <t>HALLANDS LÄN</t>
        </is>
      </c>
      <c r="G316" t="inlineStr">
        <is>
          <t>FALKENBERG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46256</v>
      </c>
      <c r="F317" t="inlineStr">
        <is>
          <t>HALLANDS LÄN</t>
        </is>
      </c>
      <c r="G317" t="inlineStr">
        <is>
          <t>FALKENBERG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44689</v>
      </c>
      <c r="E318" s="1" t="n">
        <v>46256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46256</v>
      </c>
      <c r="F319" t="inlineStr">
        <is>
          <t>HALLANDS LÄN</t>
        </is>
      </c>
      <c r="G319" t="inlineStr">
        <is>
          <t>FALKENBERG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44740</v>
      </c>
      <c r="E320" s="1" t="n">
        <v>46256</v>
      </c>
      <c r="F320" t="inlineStr">
        <is>
          <t>HALLANDS LÄN</t>
        </is>
      </c>
      <c r="G320" t="inlineStr">
        <is>
          <t>FALKENBERG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46256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46256</v>
      </c>
      <c r="F322" t="inlineStr">
        <is>
          <t>HALLANDS LÄN</t>
        </is>
      </c>
      <c r="G322" t="inlineStr">
        <is>
          <t>FALKENBERG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46256</v>
      </c>
      <c r="F323" t="inlineStr">
        <is>
          <t>HALLANDS LÄN</t>
        </is>
      </c>
      <c r="G323" t="inlineStr">
        <is>
          <t>FALKENBERG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46256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45628</v>
      </c>
      <c r="E325" s="1" t="n">
        <v>46256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46256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46256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46256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45048</v>
      </c>
      <c r="E329" s="1" t="n">
        <v>46256</v>
      </c>
      <c r="F329" t="inlineStr">
        <is>
          <t>HALLANDS LÄN</t>
        </is>
      </c>
      <c r="G329" t="inlineStr">
        <is>
          <t>FALKENBERG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46256</v>
      </c>
      <c r="F330" t="inlineStr">
        <is>
          <t>HALLANDS LÄN</t>
        </is>
      </c>
      <c r="G330" t="inlineStr">
        <is>
          <t>FALKENBERG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46256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46256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46256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46256</v>
      </c>
      <c r="F334" t="inlineStr">
        <is>
          <t>HALLANDS LÄN</t>
        </is>
      </c>
      <c r="G334" t="inlineStr">
        <is>
          <t>FALKENBERG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46256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45682</v>
      </c>
      <c r="E336" s="1" t="n">
        <v>46256</v>
      </c>
      <c r="F336" t="inlineStr">
        <is>
          <t>HALLANDS LÄN</t>
        </is>
      </c>
      <c r="G336" t="inlineStr">
        <is>
          <t>FALKENBERG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45682</v>
      </c>
      <c r="E337" s="1" t="n">
        <v>46256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44974</v>
      </c>
      <c r="E338" s="1" t="n">
        <v>46256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46256</v>
      </c>
      <c r="F339" t="inlineStr">
        <is>
          <t>HALLANDS LÄN</t>
        </is>
      </c>
      <c r="G339" t="inlineStr">
        <is>
          <t>FALKENBERG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46256</v>
      </c>
      <c r="F340" t="inlineStr">
        <is>
          <t>HALLANDS LÄN</t>
        </is>
      </c>
      <c r="G340" t="inlineStr">
        <is>
          <t>FALKENBERG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46256</v>
      </c>
      <c r="F341" t="inlineStr">
        <is>
          <t>HALLANDS LÄN</t>
        </is>
      </c>
      <c r="G341" t="inlineStr">
        <is>
          <t>FALKENBERG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44831</v>
      </c>
      <c r="E342" s="1" t="n">
        <v>46256</v>
      </c>
      <c r="F342" t="inlineStr">
        <is>
          <t>HALLANDS LÄN</t>
        </is>
      </c>
      <c r="G342" t="inlineStr">
        <is>
          <t>FALKENBERG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45138</v>
      </c>
      <c r="E343" s="1" t="n">
        <v>46256</v>
      </c>
      <c r="F343" t="inlineStr">
        <is>
          <t>HALLANDS LÄN</t>
        </is>
      </c>
      <c r="G343" t="inlineStr">
        <is>
          <t>FALKENBERG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45326</v>
      </c>
      <c r="E344" s="1" t="n">
        <v>46256</v>
      </c>
      <c r="F344" t="inlineStr">
        <is>
          <t>HALLANDS LÄN</t>
        </is>
      </c>
      <c r="G344" t="inlineStr">
        <is>
          <t>FALKENBERG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46256</v>
      </c>
      <c r="F345" t="inlineStr">
        <is>
          <t>HALLANDS LÄN</t>
        </is>
      </c>
      <c r="G345" t="inlineStr">
        <is>
          <t>FALKENBERG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46256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46256</v>
      </c>
      <c r="F347" t="inlineStr">
        <is>
          <t>HALLANDS LÄN</t>
        </is>
      </c>
      <c r="G347" t="inlineStr">
        <is>
          <t>FALKENBERG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44538</v>
      </c>
      <c r="E348" s="1" t="n">
        <v>46256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44740</v>
      </c>
      <c r="E349" s="1" t="n">
        <v>46256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45667</v>
      </c>
      <c r="E350" s="1" t="n">
        <v>46256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46256</v>
      </c>
      <c r="F351" t="inlineStr">
        <is>
          <t>HALLANDS LÄN</t>
        </is>
      </c>
      <c r="G351" t="inlineStr">
        <is>
          <t>FALKENBERG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46256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46256</v>
      </c>
      <c r="F353" t="inlineStr">
        <is>
          <t>HALLANDS LÄN</t>
        </is>
      </c>
      <c r="G353" t="inlineStr">
        <is>
          <t>FALKENBERG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45481</v>
      </c>
      <c r="E354" s="1" t="n">
        <v>46256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43131-2021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44431</v>
      </c>
      <c r="E355" s="1" t="n">
        <v>46256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45750</v>
      </c>
      <c r="E356" s="1" t="n">
        <v>46256</v>
      </c>
      <c r="F356" t="inlineStr">
        <is>
          <t>HALLANDS LÄN</t>
        </is>
      </c>
      <c r="G356" t="inlineStr">
        <is>
          <t>FALKENBERG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46256</v>
      </c>
      <c r="F357" t="inlineStr">
        <is>
          <t>HALLANDS LÄN</t>
        </is>
      </c>
      <c r="G357" t="inlineStr">
        <is>
          <t>FALKENBERG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46256</v>
      </c>
      <c r="F358" t="inlineStr">
        <is>
          <t>HALLANDS LÄN</t>
        </is>
      </c>
      <c r="G358" t="inlineStr">
        <is>
          <t>FALKENBERG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46256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58939-2022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46256</v>
      </c>
      <c r="F360" t="inlineStr">
        <is>
          <t>HALLANDS LÄN</t>
        </is>
      </c>
      <c r="G360" t="inlineStr">
        <is>
          <t>FALKENBERG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46256</v>
      </c>
      <c r="F361" t="inlineStr">
        <is>
          <t>HALLANDS LÄN</t>
        </is>
      </c>
      <c r="G361" t="inlineStr">
        <is>
          <t>FALKENBERG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67454-2021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46256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46256</v>
      </c>
      <c r="F363" t="inlineStr">
        <is>
          <t>HALLANDS LÄN</t>
        </is>
      </c>
      <c r="G363" t="inlineStr">
        <is>
          <t>FALKENBERG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46256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46256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46256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58072-2022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46256</v>
      </c>
      <c r="F367" t="inlineStr">
        <is>
          <t>HALLANDS LÄN</t>
        </is>
      </c>
      <c r="G367" t="inlineStr">
        <is>
          <t>FALKENBERG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45601</v>
      </c>
      <c r="E368" s="1" t="n">
        <v>46256</v>
      </c>
      <c r="F368" t="inlineStr">
        <is>
          <t>HALLANDS LÄN</t>
        </is>
      </c>
      <c r="G368" t="inlineStr">
        <is>
          <t>FALKENBERG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46256</v>
      </c>
      <c r="F369" t="inlineStr">
        <is>
          <t>HALLANDS LÄN</t>
        </is>
      </c>
      <c r="G369" t="inlineStr">
        <is>
          <t>FALKENBERG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46256</v>
      </c>
      <c r="F370" t="inlineStr">
        <is>
          <t>HALLANDS LÄN</t>
        </is>
      </c>
      <c r="G370" t="inlineStr">
        <is>
          <t>FALKENBERG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44986</v>
      </c>
      <c r="E371" s="1" t="n">
        <v>46256</v>
      </c>
      <c r="F371" t="inlineStr">
        <is>
          <t>HALLANDS LÄN</t>
        </is>
      </c>
      <c r="G371" t="inlineStr">
        <is>
          <t>FALKENBERG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46256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46256</v>
      </c>
      <c r="F373" t="inlineStr">
        <is>
          <t>HALLANDS LÄN</t>
        </is>
      </c>
      <c r="G373" t="inlineStr">
        <is>
          <t>FALKENBERG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45391</v>
      </c>
      <c r="E374" s="1" t="n">
        <v>46256</v>
      </c>
      <c r="F374" t="inlineStr">
        <is>
          <t>HALLANDS LÄN</t>
        </is>
      </c>
      <c r="G374" t="inlineStr">
        <is>
          <t>FALKENBERG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44887</v>
      </c>
      <c r="E375" s="1" t="n">
        <v>46256</v>
      </c>
      <c r="F375" t="inlineStr">
        <is>
          <t>HALLANDS LÄN</t>
        </is>
      </c>
      <c r="G375" t="inlineStr">
        <is>
          <t>FALKENBERG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46256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45219</v>
      </c>
      <c r="E377" s="1" t="n">
        <v>46256</v>
      </c>
      <c r="F377" t="inlineStr">
        <is>
          <t>HALLANDS LÄN</t>
        </is>
      </c>
      <c r="G377" t="inlineStr">
        <is>
          <t>FALKENBERG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44811</v>
      </c>
      <c r="E378" s="1" t="n">
        <v>46256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46256</v>
      </c>
      <c r="F379" t="inlineStr">
        <is>
          <t>HALLANDS LÄN</t>
        </is>
      </c>
      <c r="G379" t="inlineStr">
        <is>
          <t>FALKENBERG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46256</v>
      </c>
      <c r="F380" t="inlineStr">
        <is>
          <t>HALLANDS LÄN</t>
        </is>
      </c>
      <c r="G380" t="inlineStr">
        <is>
          <t>FALKENBERG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46256</v>
      </c>
      <c r="F381" t="inlineStr">
        <is>
          <t>HALLANDS LÄN</t>
        </is>
      </c>
      <c r="G381" t="inlineStr">
        <is>
          <t>FALKENBERG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46256</v>
      </c>
      <c r="F382" t="inlineStr">
        <is>
          <t>HALLANDS LÄN</t>
        </is>
      </c>
      <c r="G382" t="inlineStr">
        <is>
          <t>FALKENBERG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58107-2023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45249</v>
      </c>
      <c r="E383" s="1" t="n">
        <v>46256</v>
      </c>
      <c r="F383" t="inlineStr">
        <is>
          <t>HALLANDS LÄN</t>
        </is>
      </c>
      <c r="G383" t="inlineStr">
        <is>
          <t>FALKENBERG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46256</v>
      </c>
      <c r="F384" t="inlineStr">
        <is>
          <t>HALLANDS LÄN</t>
        </is>
      </c>
      <c r="G384" t="inlineStr">
        <is>
          <t>FALKENBERG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44846</v>
      </c>
      <c r="E385" s="1" t="n">
        <v>46256</v>
      </c>
      <c r="F385" t="inlineStr">
        <is>
          <t>HALLANDS LÄN</t>
        </is>
      </c>
      <c r="G385" t="inlineStr">
        <is>
          <t>FALKENBERG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46256</v>
      </c>
      <c r="F386" t="inlineStr">
        <is>
          <t>HALLANDS LÄN</t>
        </is>
      </c>
      <c r="G386" t="inlineStr">
        <is>
          <t>FALKENBERG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46256</v>
      </c>
      <c r="F387" t="inlineStr">
        <is>
          <t>HALLANDS LÄN</t>
        </is>
      </c>
      <c r="G387" t="inlineStr">
        <is>
          <t>FALKENBERG</t>
        </is>
      </c>
      <c r="H387" t="inlineStr">
        <is>
          <t>Bergvik skog väst AB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46256</v>
      </c>
      <c r="F388" t="inlineStr">
        <is>
          <t>HALLANDS LÄN</t>
        </is>
      </c>
      <c r="G388" t="inlineStr">
        <is>
          <t>FALKENBERG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45422</v>
      </c>
      <c r="E389" s="1" t="n">
        <v>46256</v>
      </c>
      <c r="F389" t="inlineStr">
        <is>
          <t>HALLANDS LÄN</t>
        </is>
      </c>
      <c r="G389" t="inlineStr">
        <is>
          <t>FALKENBERG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46256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45184</v>
      </c>
      <c r="E391" s="1" t="n">
        <v>46256</v>
      </c>
      <c r="F391" t="inlineStr">
        <is>
          <t>HALLANDS LÄN</t>
        </is>
      </c>
      <c r="G391" t="inlineStr">
        <is>
          <t>FALKENBERG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46256</v>
      </c>
      <c r="F392" t="inlineStr">
        <is>
          <t>HALLANDS LÄN</t>
        </is>
      </c>
      <c r="G392" t="inlineStr">
        <is>
          <t>FALKENBERG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46256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46256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46256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46256</v>
      </c>
      <c r="F396" t="inlineStr">
        <is>
          <t>HALLANDS LÄN</t>
        </is>
      </c>
      <c r="G396" t="inlineStr">
        <is>
          <t>FALKENBERG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46256</v>
      </c>
      <c r="F397" t="inlineStr">
        <is>
          <t>HALLANDS LÄN</t>
        </is>
      </c>
      <c r="G397" t="inlineStr">
        <is>
          <t>FALKENBERG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44767</v>
      </c>
      <c r="E398" s="1" t="n">
        <v>46256</v>
      </c>
      <c r="F398" t="inlineStr">
        <is>
          <t>HALLANDS LÄN</t>
        </is>
      </c>
      <c r="G398" t="inlineStr">
        <is>
          <t>FALKENBERG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46256</v>
      </c>
      <c r="F399" t="inlineStr">
        <is>
          <t>HALLANDS LÄN</t>
        </is>
      </c>
      <c r="G399" t="inlineStr">
        <is>
          <t>FALKENBERG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46256</v>
      </c>
      <c r="F400" t="inlineStr">
        <is>
          <t>HALLANDS LÄN</t>
        </is>
      </c>
      <c r="G400" t="inlineStr">
        <is>
          <t>FALKENBERG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44693</v>
      </c>
      <c r="E401" s="1" t="n">
        <v>46256</v>
      </c>
      <c r="F401" t="inlineStr">
        <is>
          <t>HALLANDS LÄN</t>
        </is>
      </c>
      <c r="G401" t="inlineStr">
        <is>
          <t>FALKENBERG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20250-2024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45434</v>
      </c>
      <c r="E402" s="1" t="n">
        <v>46256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46256</v>
      </c>
      <c r="F403" t="inlineStr">
        <is>
          <t>HALLANDS LÄN</t>
        </is>
      </c>
      <c r="G403" t="inlineStr">
        <is>
          <t>FALKENBERG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46256</v>
      </c>
      <c r="F404" t="inlineStr">
        <is>
          <t>HALLANDS LÄN</t>
        </is>
      </c>
      <c r="G404" t="inlineStr">
        <is>
          <t>FALKENBERG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45074</v>
      </c>
      <c r="E405" s="1" t="n">
        <v>46256</v>
      </c>
      <c r="F405" t="inlineStr">
        <is>
          <t>HALLANDS LÄN</t>
        </is>
      </c>
      <c r="G405" t="inlineStr">
        <is>
          <t>FALKENBERG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46256</v>
      </c>
      <c r="F406" t="inlineStr">
        <is>
          <t>HALLANDS LÄN</t>
        </is>
      </c>
      <c r="G406" t="inlineStr">
        <is>
          <t>FALKENBERG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46256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46256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45174</v>
      </c>
      <c r="E409" s="1" t="n">
        <v>46256</v>
      </c>
      <c r="F409" t="inlineStr">
        <is>
          <t>HALLANDS LÄN</t>
        </is>
      </c>
      <c r="G409" t="inlineStr">
        <is>
          <t>FALKENBERG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46256</v>
      </c>
      <c r="F410" t="inlineStr">
        <is>
          <t>HALLANDS LÄN</t>
        </is>
      </c>
      <c r="G410" t="inlineStr">
        <is>
          <t>FALKENBERG</t>
        </is>
      </c>
      <c r="H410" t="inlineStr">
        <is>
          <t>Naturvårdsverket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45533</v>
      </c>
      <c r="E411" s="1" t="n">
        <v>46256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45624</v>
      </c>
      <c r="E412" s="1" t="n">
        <v>46256</v>
      </c>
      <c r="F412" t="inlineStr">
        <is>
          <t>HALLANDS LÄN</t>
        </is>
      </c>
      <c r="G412" t="inlineStr">
        <is>
          <t>FALKENBERG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46256</v>
      </c>
      <c r="F413" t="inlineStr">
        <is>
          <t>HALLANDS LÄN</t>
        </is>
      </c>
      <c r="G413" t="inlineStr">
        <is>
          <t>FALKENBERG</t>
        </is>
      </c>
      <c r="H413" t="inlineStr">
        <is>
          <t>Bergvik skog väst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46256</v>
      </c>
      <c r="F414" t="inlineStr">
        <is>
          <t>HALLANDS LÄN</t>
        </is>
      </c>
      <c r="G414" t="inlineStr">
        <is>
          <t>FALKENBERG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45401</v>
      </c>
      <c r="E415" s="1" t="n">
        <v>46256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20543-2023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45055</v>
      </c>
      <c r="E416" s="1" t="n">
        <v>46256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20546-2023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45055</v>
      </c>
      <c r="E417" s="1" t="n">
        <v>46256</v>
      </c>
      <c r="F417" t="inlineStr">
        <is>
          <t>HALLANDS LÄN</t>
        </is>
      </c>
      <c r="G417" t="inlineStr">
        <is>
          <t>FALKENBERG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46256</v>
      </c>
      <c r="F418" t="inlineStr">
        <is>
          <t>HALLANDS LÄN</t>
        </is>
      </c>
      <c r="G418" t="inlineStr">
        <is>
          <t>FALKENBERG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61931-2021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44502</v>
      </c>
      <c r="E419" s="1" t="n">
        <v>46256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46256</v>
      </c>
      <c r="F420" t="inlineStr">
        <is>
          <t>HALLANDS LÄN</t>
        </is>
      </c>
      <c r="G420" t="inlineStr">
        <is>
          <t>FALKENBERG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46256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65081-2021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46256</v>
      </c>
      <c r="F422" t="inlineStr">
        <is>
          <t>HALLANDS LÄN</t>
        </is>
      </c>
      <c r="G422" t="inlineStr">
        <is>
          <t>FALKENBERG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45337</v>
      </c>
      <c r="E423" s="1" t="n">
        <v>46256</v>
      </c>
      <c r="F423" t="inlineStr">
        <is>
          <t>HALLANDS LÄN</t>
        </is>
      </c>
      <c r="G423" t="inlineStr">
        <is>
          <t>FALKENBERG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14753-2022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44656</v>
      </c>
      <c r="E424" s="1" t="n">
        <v>46256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46256</v>
      </c>
      <c r="F425" t="inlineStr">
        <is>
          <t>HALLANDS LÄN</t>
        </is>
      </c>
      <c r="G425" t="inlineStr">
        <is>
          <t>FALKENBERG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15858-2022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44664</v>
      </c>
      <c r="E426" s="1" t="n">
        <v>46256</v>
      </c>
      <c r="F426" t="inlineStr">
        <is>
          <t>HALLANDS LÄN</t>
        </is>
      </c>
      <c r="G426" t="inlineStr">
        <is>
          <t>FALKENBERG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46256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46256</v>
      </c>
      <c r="F428" t="inlineStr">
        <is>
          <t>HALLANDS LÄN</t>
        </is>
      </c>
      <c r="G428" t="inlineStr">
        <is>
          <t>FALKENBERG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46256</v>
      </c>
      <c r="F429" t="inlineStr">
        <is>
          <t>HALLANDS LÄN</t>
        </is>
      </c>
      <c r="G429" t="inlineStr">
        <is>
          <t>FALKENBERG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46256</v>
      </c>
      <c r="F430" t="inlineStr">
        <is>
          <t>HALLANDS LÄN</t>
        </is>
      </c>
      <c r="G430" t="inlineStr">
        <is>
          <t>FALKENBERG</t>
        </is>
      </c>
      <c r="I430" t="n">
        <v>13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46256</v>
      </c>
      <c r="F431" t="inlineStr">
        <is>
          <t>HALLANDS LÄN</t>
        </is>
      </c>
      <c r="G431" t="inlineStr">
        <is>
          <t>FALKENBERG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46256</v>
      </c>
      <c r="F432" t="inlineStr">
        <is>
          <t>HALLANDS LÄN</t>
        </is>
      </c>
      <c r="G432" t="inlineStr">
        <is>
          <t>FALKENBERG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45681</v>
      </c>
      <c r="E433" s="1" t="n">
        <v>46256</v>
      </c>
      <c r="F433" t="inlineStr">
        <is>
          <t>HALLANDS LÄN</t>
        </is>
      </c>
      <c r="G433" t="inlineStr">
        <is>
          <t>FALKENBERG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46256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45422</v>
      </c>
      <c r="E435" s="1" t="n">
        <v>46256</v>
      </c>
      <c r="F435" t="inlineStr">
        <is>
          <t>HALLANDS LÄN</t>
        </is>
      </c>
      <c r="G435" t="inlineStr">
        <is>
          <t>FALKENBERG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46256</v>
      </c>
      <c r="F436" t="inlineStr">
        <is>
          <t>HALLANDS LÄN</t>
        </is>
      </c>
      <c r="G436" t="inlineStr">
        <is>
          <t>FALKENBERG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66747-2021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44521</v>
      </c>
      <c r="E437" s="1" t="n">
        <v>46256</v>
      </c>
      <c r="F437" t="inlineStr">
        <is>
          <t>HALLANDS LÄN</t>
        </is>
      </c>
      <c r="G437" t="inlineStr">
        <is>
          <t>FALKENBERG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46256</v>
      </c>
      <c r="F438" t="inlineStr">
        <is>
          <t>HALLANDS LÄN</t>
        </is>
      </c>
      <c r="G438" t="inlineStr">
        <is>
          <t>FALKENBERG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46256</v>
      </c>
      <c r="F439" t="inlineStr">
        <is>
          <t>HALLANDS LÄN</t>
        </is>
      </c>
      <c r="G439" t="inlineStr">
        <is>
          <t>FALKENBERG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46256</v>
      </c>
      <c r="F440" t="inlineStr">
        <is>
          <t>HALLANDS LÄN</t>
        </is>
      </c>
      <c r="G440" t="inlineStr">
        <is>
          <t>FALKENBERG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45248</v>
      </c>
      <c r="E441" s="1" t="n">
        <v>46256</v>
      </c>
      <c r="F441" t="inlineStr">
        <is>
          <t>HALLANDS LÄN</t>
        </is>
      </c>
      <c r="G441" t="inlineStr">
        <is>
          <t>FALKENBERG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46256</v>
      </c>
      <c r="F442" t="inlineStr">
        <is>
          <t>HALLANDS LÄN</t>
        </is>
      </c>
      <c r="G442" t="inlineStr">
        <is>
          <t>FALKENBERG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45270</v>
      </c>
      <c r="E443" s="1" t="n">
        <v>46256</v>
      </c>
      <c r="F443" t="inlineStr">
        <is>
          <t>HALLANDS LÄN</t>
        </is>
      </c>
      <c r="G443" t="inlineStr">
        <is>
          <t>FALKENBERG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46256</v>
      </c>
      <c r="F444" t="inlineStr">
        <is>
          <t>HALLANDS LÄN</t>
        </is>
      </c>
      <c r="G444" t="inlineStr">
        <is>
          <t>FALKENBERG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45274</v>
      </c>
      <c r="E445" s="1" t="n">
        <v>46256</v>
      </c>
      <c r="F445" t="inlineStr">
        <is>
          <t>HALLANDS LÄN</t>
        </is>
      </c>
      <c r="G445" t="inlineStr">
        <is>
          <t>FALKENBERG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18323-2024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45422</v>
      </c>
      <c r="E446" s="1" t="n">
        <v>46256</v>
      </c>
      <c r="F446" t="inlineStr">
        <is>
          <t>HALLANDS LÄN</t>
        </is>
      </c>
      <c r="G446" t="inlineStr">
        <is>
          <t>FALKENBERG</t>
        </is>
      </c>
      <c r="H446" t="inlineStr">
        <is>
          <t>Bergvik skog väst AB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45673</v>
      </c>
      <c r="E447" s="1" t="n">
        <v>46256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46256</v>
      </c>
      <c r="F448" t="inlineStr">
        <is>
          <t>HALLANDS LÄN</t>
        </is>
      </c>
      <c r="G448" t="inlineStr">
        <is>
          <t>FALKENBERG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45249</v>
      </c>
      <c r="E449" s="1" t="n">
        <v>46256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44952</v>
      </c>
      <c r="E450" s="1" t="n">
        <v>46256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46256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45146</v>
      </c>
      <c r="E452" s="1" t="n">
        <v>46256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46256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45305</v>
      </c>
      <c r="E454" s="1" t="n">
        <v>46256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46256</v>
      </c>
      <c r="F455" t="inlineStr">
        <is>
          <t>HALLANDS LÄN</t>
        </is>
      </c>
      <c r="G455" t="inlineStr">
        <is>
          <t>FALKENBERG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46256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46256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46256</v>
      </c>
      <c r="F458" t="inlineStr">
        <is>
          <t>HALLANDS LÄN</t>
        </is>
      </c>
      <c r="G458" t="inlineStr">
        <is>
          <t>FALKENBERG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46256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46256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46256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46256</v>
      </c>
      <c r="F462" t="inlineStr">
        <is>
          <t>HALLANDS LÄN</t>
        </is>
      </c>
      <c r="G462" t="inlineStr">
        <is>
          <t>FALKENBERG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46256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46166</v>
      </c>
      <c r="E464" s="1" t="n">
        <v>46256</v>
      </c>
      <c r="F464" t="inlineStr">
        <is>
          <t>HALLANDS LÄN</t>
        </is>
      </c>
      <c r="G464" t="inlineStr">
        <is>
          <t>FALKENBERG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46256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45643</v>
      </c>
      <c r="E466" s="1" t="n">
        <v>46256</v>
      </c>
      <c r="F466" t="inlineStr">
        <is>
          <t>HALLANDS LÄN</t>
        </is>
      </c>
      <c r="G466" t="inlineStr">
        <is>
          <t>FALKENBERG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44574</v>
      </c>
      <c r="E467" s="1" t="n">
        <v>46256</v>
      </c>
      <c r="F467" t="inlineStr">
        <is>
          <t>HALLANDS LÄN</t>
        </is>
      </c>
      <c r="G467" t="inlineStr">
        <is>
          <t>FALKENBERG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46256</v>
      </c>
      <c r="F468" t="inlineStr">
        <is>
          <t>HALLANDS LÄN</t>
        </is>
      </c>
      <c r="G468" t="inlineStr">
        <is>
          <t>FALKENBERG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46256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45119</v>
      </c>
      <c r="E470" s="1" t="n">
        <v>46256</v>
      </c>
      <c r="F470" t="inlineStr">
        <is>
          <t>HALLANDS LÄN</t>
        </is>
      </c>
      <c r="G470" t="inlineStr">
        <is>
          <t>FALKENBERG</t>
        </is>
      </c>
      <c r="I470" t="n">
        <v>10.8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45266</v>
      </c>
      <c r="E471" s="1" t="n">
        <v>46256</v>
      </c>
      <c r="F471" t="inlineStr">
        <is>
          <t>HALLANDS LÄN</t>
        </is>
      </c>
      <c r="G471" t="inlineStr">
        <is>
          <t>FALKENBERG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46256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46256</v>
      </c>
      <c r="F473" t="inlineStr">
        <is>
          <t>HALLANDS LÄN</t>
        </is>
      </c>
      <c r="G473" t="inlineStr">
        <is>
          <t>FALKENBERG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46256</v>
      </c>
      <c r="F474" t="inlineStr">
        <is>
          <t>HALLANDS LÄN</t>
        </is>
      </c>
      <c r="G474" t="inlineStr">
        <is>
          <t>FALKENBERG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46256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61546-2022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44916</v>
      </c>
      <c r="E476" s="1" t="n">
        <v>46256</v>
      </c>
      <c r="F476" t="inlineStr">
        <is>
          <t>HALLANDS LÄN</t>
        </is>
      </c>
      <c r="G476" t="inlineStr">
        <is>
          <t>FALKENBERG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54606-2025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45966</v>
      </c>
      <c r="E477" s="1" t="n">
        <v>46256</v>
      </c>
      <c r="F477" t="inlineStr">
        <is>
          <t>HALLANDS LÄN</t>
        </is>
      </c>
      <c r="G477" t="inlineStr">
        <is>
          <t>FALKENBERG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46256</v>
      </c>
      <c r="F478" t="inlineStr">
        <is>
          <t>HALLANDS LÄN</t>
        </is>
      </c>
      <c r="G478" t="inlineStr">
        <is>
          <t>FALKENBERG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46256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46256</v>
      </c>
      <c r="F480" t="inlineStr">
        <is>
          <t>HALLANDS LÄN</t>
        </is>
      </c>
      <c r="G480" t="inlineStr">
        <is>
          <t>FALKENBERG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45058</v>
      </c>
      <c r="E481" s="1" t="n">
        <v>46256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46172</v>
      </c>
      <c r="E482" s="1" t="n">
        <v>46256</v>
      </c>
      <c r="F482" t="inlineStr">
        <is>
          <t>HALLANDS LÄN</t>
        </is>
      </c>
      <c r="G482" t="inlineStr">
        <is>
          <t>FALKENBERG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72470-2021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44545</v>
      </c>
      <c r="E483" s="1" t="n">
        <v>46256</v>
      </c>
      <c r="F483" t="inlineStr">
        <is>
          <t>HALLANDS LÄN</t>
        </is>
      </c>
      <c r="G483" t="inlineStr">
        <is>
          <t>FALKENBERG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46256</v>
      </c>
      <c r="F484" t="inlineStr">
        <is>
          <t>HALLANDS LÄN</t>
        </is>
      </c>
      <c r="G484" t="inlineStr">
        <is>
          <t>FALKENBERG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46256</v>
      </c>
      <c r="F485" t="inlineStr">
        <is>
          <t>HALLANDS LÄN</t>
        </is>
      </c>
      <c r="G485" t="inlineStr">
        <is>
          <t>FALKENBERG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46256</v>
      </c>
      <c r="F486" t="inlineStr">
        <is>
          <t>HALLANDS LÄN</t>
        </is>
      </c>
      <c r="G486" t="inlineStr">
        <is>
          <t>FALKENBERG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45679</v>
      </c>
      <c r="E487" s="1" t="n">
        <v>46256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46256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45384</v>
      </c>
      <c r="E489" s="1" t="n">
        <v>46256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46256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46256</v>
      </c>
      <c r="F491" t="inlineStr">
        <is>
          <t>HALLANDS LÄN</t>
        </is>
      </c>
      <c r="G491" t="inlineStr">
        <is>
          <t>FALKENBERG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46256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46256</v>
      </c>
      <c r="F493" t="inlineStr">
        <is>
          <t>HALLANDS LÄN</t>
        </is>
      </c>
      <c r="G493" t="inlineStr">
        <is>
          <t>FALKENBERG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46256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36980-2022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44806</v>
      </c>
      <c r="E495" s="1" t="n">
        <v>46256</v>
      </c>
      <c r="F495" t="inlineStr">
        <is>
          <t>HALLANDS LÄN</t>
        </is>
      </c>
      <c r="G495" t="inlineStr">
        <is>
          <t>FALKENBERG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46256</v>
      </c>
      <c r="F496" t="inlineStr">
        <is>
          <t>HALLANDS LÄN</t>
        </is>
      </c>
      <c r="G496" t="inlineStr">
        <is>
          <t>FALKENBERG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46256</v>
      </c>
      <c r="F497" t="inlineStr">
        <is>
          <t>HALLANDS LÄN</t>
        </is>
      </c>
      <c r="G497" t="inlineStr">
        <is>
          <t>FALKENBERG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46256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46225</v>
      </c>
      <c r="E499" s="1" t="n">
        <v>46256</v>
      </c>
      <c r="F499" t="inlineStr">
        <is>
          <t>HALLANDS LÄN</t>
        </is>
      </c>
      <c r="G499" t="inlineStr">
        <is>
          <t>FALKENBERG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46077</v>
      </c>
      <c r="E500" s="1" t="n">
        <v>46256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46256</v>
      </c>
      <c r="F501" t="inlineStr">
        <is>
          <t>HALLANDS LÄN</t>
        </is>
      </c>
      <c r="G501" t="inlineStr">
        <is>
          <t>FALKENBERG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46256</v>
      </c>
      <c r="F502" t="inlineStr">
        <is>
          <t>HALLANDS LÄN</t>
        </is>
      </c>
      <c r="G502" t="inlineStr">
        <is>
          <t>FALKENBERG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45554</v>
      </c>
      <c r="E503" s="1" t="n">
        <v>46256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46256</v>
      </c>
      <c r="F504" t="inlineStr">
        <is>
          <t>HALLANDS LÄN</t>
        </is>
      </c>
      <c r="G504" t="inlineStr">
        <is>
          <t>FALKENBERG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46256</v>
      </c>
      <c r="F505" t="inlineStr">
        <is>
          <t>HALLANDS LÄN</t>
        </is>
      </c>
      <c r="G505" t="inlineStr">
        <is>
          <t>FALKENBERG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45400</v>
      </c>
      <c r="E506" s="1" t="n">
        <v>46256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46256</v>
      </c>
      <c r="F507" t="inlineStr">
        <is>
          <t>HALLANDS LÄN</t>
        </is>
      </c>
      <c r="G507" t="inlineStr">
        <is>
          <t>FALKENBERG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46082</v>
      </c>
      <c r="E508" s="1" t="n">
        <v>46256</v>
      </c>
      <c r="F508" t="inlineStr">
        <is>
          <t>HALLANDS LÄN</t>
        </is>
      </c>
      <c r="G508" t="inlineStr">
        <is>
          <t>FALKENBERG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55876-2023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45239</v>
      </c>
      <c r="E509" s="1" t="n">
        <v>46256</v>
      </c>
      <c r="F509" t="inlineStr">
        <is>
          <t>HALLANDS LÄN</t>
        </is>
      </c>
      <c r="G509" t="inlineStr">
        <is>
          <t>FALKENBERG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45219</v>
      </c>
      <c r="E510" s="1" t="n">
        <v>46256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46256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46256</v>
      </c>
      <c r="F512" t="inlineStr">
        <is>
          <t>HALLANDS LÄN</t>
        </is>
      </c>
      <c r="G512" t="inlineStr">
        <is>
          <t>FALKENBERG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46087</v>
      </c>
      <c r="E513" s="1" t="n">
        <v>46256</v>
      </c>
      <c r="F513" t="inlineStr">
        <is>
          <t>HALLANDS LÄN</t>
        </is>
      </c>
      <c r="G513" t="inlineStr">
        <is>
          <t>FALKENBERG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57020-2023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46256</v>
      </c>
      <c r="F514" t="inlineStr">
        <is>
          <t>HALLANDS LÄN</t>
        </is>
      </c>
      <c r="G514" t="inlineStr">
        <is>
          <t>FALKENBERG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44692</v>
      </c>
      <c r="E515" s="1" t="n">
        <v>46256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44806</v>
      </c>
      <c r="E516" s="1" t="n">
        <v>46256</v>
      </c>
      <c r="F516" t="inlineStr">
        <is>
          <t>HALLANDS LÄN</t>
        </is>
      </c>
      <c r="G516" t="inlineStr">
        <is>
          <t>FALKENBERG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46256</v>
      </c>
      <c r="F517" t="inlineStr">
        <is>
          <t>HALLANDS LÄN</t>
        </is>
      </c>
      <c r="G517" t="inlineStr">
        <is>
          <t>FALKENBERG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45212</v>
      </c>
      <c r="E518" s="1" t="n">
        <v>46256</v>
      </c>
      <c r="F518" t="inlineStr">
        <is>
          <t>HALLANDS LÄN</t>
        </is>
      </c>
      <c r="G518" t="inlineStr">
        <is>
          <t>FALKENBERG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46256</v>
      </c>
      <c r="F519" t="inlineStr">
        <is>
          <t>HALLANDS LÄN</t>
        </is>
      </c>
      <c r="G519" t="inlineStr">
        <is>
          <t>FALKENBERG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46256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46256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46256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53069-2021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44467</v>
      </c>
      <c r="E523" s="1" t="n">
        <v>46256</v>
      </c>
      <c r="F523" t="inlineStr">
        <is>
          <t>HALLANDS LÄN</t>
        </is>
      </c>
      <c r="G523" t="inlineStr">
        <is>
          <t>FALKENBERG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46097</v>
      </c>
      <c r="E524" s="1" t="n">
        <v>46256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46256</v>
      </c>
      <c r="F525" t="inlineStr">
        <is>
          <t>HALLANDS LÄN</t>
        </is>
      </c>
      <c r="G525" t="inlineStr">
        <is>
          <t>FALKENBERG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63097-2023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46256</v>
      </c>
      <c r="F526" t="inlineStr">
        <is>
          <t>HALLANDS LÄN</t>
        </is>
      </c>
      <c r="G526" t="inlineStr">
        <is>
          <t>FALKENBERG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46256</v>
      </c>
      <c r="F527" t="inlineStr">
        <is>
          <t>HALLANDS LÄN</t>
        </is>
      </c>
      <c r="G527" t="inlineStr">
        <is>
          <t>FALKENBERG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6703-2022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44602</v>
      </c>
      <c r="E528" s="1" t="n">
        <v>46256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46256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45627</v>
      </c>
      <c r="E530" s="1" t="n">
        <v>46256</v>
      </c>
      <c r="F530" t="inlineStr">
        <is>
          <t>HALLANDS LÄN</t>
        </is>
      </c>
      <c r="G530" t="inlineStr">
        <is>
          <t>FALKENBERG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46256</v>
      </c>
      <c r="F531" t="inlineStr">
        <is>
          <t>HALLANDS LÄN</t>
        </is>
      </c>
      <c r="G531" t="inlineStr">
        <is>
          <t>FALKENBERG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46256</v>
      </c>
      <c r="F532" t="inlineStr">
        <is>
          <t>HALLANDS LÄN</t>
        </is>
      </c>
      <c r="G532" t="inlineStr">
        <is>
          <t>FALKENBERG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46256</v>
      </c>
      <c r="F533" t="inlineStr">
        <is>
          <t>HALLANDS LÄN</t>
        </is>
      </c>
      <c r="G533" t="inlineStr">
        <is>
          <t>FALKENBERG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46256</v>
      </c>
      <c r="F534" t="inlineStr">
        <is>
          <t>HALLANDS LÄN</t>
        </is>
      </c>
      <c r="G534" t="inlineStr">
        <is>
          <t>FALKENBERG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46256</v>
      </c>
      <c r="F535" t="inlineStr">
        <is>
          <t>HALLANDS LÄN</t>
        </is>
      </c>
      <c r="G535" t="inlineStr">
        <is>
          <t>FALKENBERG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45118</v>
      </c>
      <c r="E536" s="1" t="n">
        <v>46256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46256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46256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46256</v>
      </c>
      <c r="F539" t="inlineStr">
        <is>
          <t>HALLANDS LÄN</t>
        </is>
      </c>
      <c r="G539" t="inlineStr">
        <is>
          <t>FALKENBERG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46256</v>
      </c>
      <c r="F540" t="inlineStr">
        <is>
          <t>HALLANDS LÄN</t>
        </is>
      </c>
      <c r="G540" t="inlineStr">
        <is>
          <t>FALKENBERG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46256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46256</v>
      </c>
      <c r="F542" t="inlineStr">
        <is>
          <t>HALLANDS LÄN</t>
        </is>
      </c>
      <c r="G542" t="inlineStr">
        <is>
          <t>FALKENBERG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46120</v>
      </c>
      <c r="E543" s="1" t="n">
        <v>46256</v>
      </c>
      <c r="F543" t="inlineStr">
        <is>
          <t>HALLANDS LÄN</t>
        </is>
      </c>
      <c r="G543" t="inlineStr">
        <is>
          <t>FALKENBERG</t>
        </is>
      </c>
      <c r="H543" t="inlineStr">
        <is>
          <t>Övriga Aktiebolag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44785</v>
      </c>
      <c r="E544" s="1" t="n">
        <v>46256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46256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46256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46256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46256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46256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46256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55878-2023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45239</v>
      </c>
      <c r="E551" s="1" t="n">
        <v>46256</v>
      </c>
      <c r="F551" t="inlineStr">
        <is>
          <t>HALLANDS LÄN</t>
        </is>
      </c>
      <c r="G551" t="inlineStr">
        <is>
          <t>FALKENBERG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46256</v>
      </c>
      <c r="F552" t="inlineStr">
        <is>
          <t>HALLANDS LÄN</t>
        </is>
      </c>
      <c r="G552" t="inlineStr">
        <is>
          <t>FALKENBERG</t>
        </is>
      </c>
      <c r="H552" t="inlineStr">
        <is>
          <t>Bergvik skog väst AB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46256</v>
      </c>
      <c r="F553" t="inlineStr">
        <is>
          <t>HALLANDS LÄN</t>
        </is>
      </c>
      <c r="G553" t="inlineStr">
        <is>
          <t>FALKENBERG</t>
        </is>
      </c>
      <c r="H553" t="inlineStr">
        <is>
          <t>Bergvik skog väst AB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45272</v>
      </c>
      <c r="E554" s="1" t="n">
        <v>46256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46200</v>
      </c>
      <c r="E555" s="1" t="n">
        <v>46256</v>
      </c>
      <c r="F555" t="inlineStr">
        <is>
          <t>HALLANDS LÄN</t>
        </is>
      </c>
      <c r="G555" t="inlineStr">
        <is>
          <t>FALKENBERG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53939-2021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44469</v>
      </c>
      <c r="E556" s="1" t="n">
        <v>46256</v>
      </c>
      <c r="F556" t="inlineStr">
        <is>
          <t>HALLANDS LÄN</t>
        </is>
      </c>
      <c r="G556" t="inlineStr">
        <is>
          <t>FALKENBERG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46256</v>
      </c>
      <c r="F557" t="inlineStr">
        <is>
          <t>HALLANDS LÄN</t>
        </is>
      </c>
      <c r="G557" t="inlineStr">
        <is>
          <t>FALKENBERG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45029</v>
      </c>
      <c r="E558" s="1" t="n">
        <v>46256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45680</v>
      </c>
      <c r="E559" s="1" t="n">
        <v>46256</v>
      </c>
      <c r="F559" t="inlineStr">
        <is>
          <t>HALLANDS LÄN</t>
        </is>
      </c>
      <c r="G559" t="inlineStr">
        <is>
          <t>FALKENBERG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46256</v>
      </c>
      <c r="F560" t="inlineStr">
        <is>
          <t>HALLANDS LÄN</t>
        </is>
      </c>
      <c r="G560" t="inlineStr">
        <is>
          <t>FALKENBERG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46256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46256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46256</v>
      </c>
      <c r="F563" t="inlineStr">
        <is>
          <t>HALLANDS LÄN</t>
        </is>
      </c>
      <c r="G563" t="inlineStr">
        <is>
          <t>FALKENBERG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45363</v>
      </c>
      <c r="E564" s="1" t="n">
        <v>46256</v>
      </c>
      <c r="F564" t="inlineStr">
        <is>
          <t>HALLANDS LÄN</t>
        </is>
      </c>
      <c r="G564" t="inlineStr">
        <is>
          <t>FALKENBERG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46256</v>
      </c>
      <c r="F565" t="inlineStr">
        <is>
          <t>HALLANDS LÄN</t>
        </is>
      </c>
      <c r="G565" t="inlineStr">
        <is>
          <t>FALKENBERG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46256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46256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46256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46256</v>
      </c>
      <c r="F569" t="inlineStr">
        <is>
          <t>HALLANDS LÄN</t>
        </is>
      </c>
      <c r="G569" t="inlineStr">
        <is>
          <t>FALKENBERG</t>
        </is>
      </c>
      <c r="I569" t="n">
        <v>29.4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46256</v>
      </c>
      <c r="F570" t="inlineStr">
        <is>
          <t>HALLANDS LÄN</t>
        </is>
      </c>
      <c r="G570" t="inlineStr">
        <is>
          <t>FALKENBERG</t>
        </is>
      </c>
      <c r="H570" t="inlineStr">
        <is>
          <t>Kyrkan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46256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46256</v>
      </c>
      <c r="F572" t="inlineStr">
        <is>
          <t>HALLANDS LÄN</t>
        </is>
      </c>
      <c r="G572" t="inlineStr">
        <is>
          <t>FALKENBERG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46256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46256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35498-2025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45856</v>
      </c>
      <c r="E575" s="1" t="n">
        <v>46256</v>
      </c>
      <c r="F575" t="inlineStr">
        <is>
          <t>HALLANDS LÄN</t>
        </is>
      </c>
      <c r="G575" t="inlineStr">
        <is>
          <t>FALKENBERG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46256</v>
      </c>
      <c r="F576" t="inlineStr">
        <is>
          <t>HALLANDS LÄN</t>
        </is>
      </c>
      <c r="G576" t="inlineStr">
        <is>
          <t>FALKENBERG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46256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45770</v>
      </c>
      <c r="E578" s="1" t="n">
        <v>46256</v>
      </c>
      <c r="F578" t="inlineStr">
        <is>
          <t>HALLANDS LÄN</t>
        </is>
      </c>
      <c r="G578" t="inlineStr">
        <is>
          <t>FALKENBERG</t>
        </is>
      </c>
      <c r="H578" t="inlineStr">
        <is>
          <t>Kommuner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45381</v>
      </c>
      <c r="E579" s="1" t="n">
        <v>46256</v>
      </c>
      <c r="F579" t="inlineStr">
        <is>
          <t>HALLANDS LÄN</t>
        </is>
      </c>
      <c r="G579" t="inlineStr">
        <is>
          <t>FALKENBERG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45127</v>
      </c>
      <c r="E580" s="1" t="n">
        <v>46256</v>
      </c>
      <c r="F580" t="inlineStr">
        <is>
          <t>HALLANDS LÄN</t>
        </is>
      </c>
      <c r="G580" t="inlineStr">
        <is>
          <t>FALKENBERG</t>
        </is>
      </c>
      <c r="H580" t="inlineStr">
        <is>
          <t>Kommuner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53400-2023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45229</v>
      </c>
      <c r="E581" s="1" t="n">
        <v>46256</v>
      </c>
      <c r="F581" t="inlineStr">
        <is>
          <t>HALLANDS LÄN</t>
        </is>
      </c>
      <c r="G581" t="inlineStr">
        <is>
          <t>FALKENBERG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64836-2023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45282</v>
      </c>
      <c r="E582" s="1" t="n">
        <v>46256</v>
      </c>
      <c r="F582" t="inlineStr">
        <is>
          <t>HALLANDS LÄN</t>
        </is>
      </c>
      <c r="G582" t="inlineStr">
        <is>
          <t>FALKENBERG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45142</v>
      </c>
      <c r="E583" s="1" t="n">
        <v>46256</v>
      </c>
      <c r="F583" t="inlineStr">
        <is>
          <t>HALLANDS LÄN</t>
        </is>
      </c>
      <c r="G583" t="inlineStr">
        <is>
          <t>FALKENBERG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46256</v>
      </c>
      <c r="F584" t="inlineStr">
        <is>
          <t>HALLANDS LÄN</t>
        </is>
      </c>
      <c r="G584" t="inlineStr">
        <is>
          <t>FALKENBERG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45035</v>
      </c>
      <c r="E585" s="1" t="n">
        <v>46256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46256</v>
      </c>
      <c r="F586" t="inlineStr">
        <is>
          <t>HALLANDS LÄN</t>
        </is>
      </c>
      <c r="G586" t="inlineStr">
        <is>
          <t>FALKENBERG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46256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19060-2025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46256</v>
      </c>
      <c r="F588" t="inlineStr">
        <is>
          <t>HALLANDS LÄN</t>
        </is>
      </c>
      <c r="G588" t="inlineStr">
        <is>
          <t>FALKENBERG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45120</v>
      </c>
      <c r="E589" s="1" t="n">
        <v>46256</v>
      </c>
      <c r="F589" t="inlineStr">
        <is>
          <t>HALLANDS LÄN</t>
        </is>
      </c>
      <c r="G589" t="inlineStr">
        <is>
          <t>FALKENBERG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45664</v>
      </c>
      <c r="E590" s="1" t="n">
        <v>46256</v>
      </c>
      <c r="F590" t="inlineStr">
        <is>
          <t>HALLANDS LÄN</t>
        </is>
      </c>
      <c r="G590" t="inlineStr">
        <is>
          <t>FALKENBERG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10746-2022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44627</v>
      </c>
      <c r="E591" s="1" t="n">
        <v>46256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34225-2026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46256</v>
      </c>
      <c r="F592" t="inlineStr">
        <is>
          <t>HALLANDS LÄN</t>
        </is>
      </c>
      <c r="G592" t="inlineStr">
        <is>
          <t>FALKENBERG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45001</v>
      </c>
      <c r="E593" s="1" t="n">
        <v>46256</v>
      </c>
      <c r="F593" t="inlineStr">
        <is>
          <t>HALLANDS LÄN</t>
        </is>
      </c>
      <c r="G593" t="inlineStr">
        <is>
          <t>FALKENBERG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46256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60245-2022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46256</v>
      </c>
      <c r="F595" t="inlineStr">
        <is>
          <t>HALLANDS LÄN</t>
        </is>
      </c>
      <c r="G595" t="inlineStr">
        <is>
          <t>FALKENBERG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46256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46256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44827</v>
      </c>
      <c r="E598" s="1" t="n">
        <v>46256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46256</v>
      </c>
      <c r="F599" t="inlineStr">
        <is>
          <t>HALLANDS LÄN</t>
        </is>
      </c>
      <c r="G599" t="inlineStr">
        <is>
          <t>FALKENBERG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30790-2026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46212</v>
      </c>
      <c r="E600" s="1" t="n">
        <v>46256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34621-2026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46255</v>
      </c>
      <c r="E601" s="1" t="n">
        <v>46256</v>
      </c>
      <c r="F601" t="inlineStr">
        <is>
          <t>HALLANDS LÄN</t>
        </is>
      </c>
      <c r="G601" t="inlineStr">
        <is>
          <t>FALKENBERG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46256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13621-2024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45390</v>
      </c>
      <c r="E603" s="1" t="n">
        <v>46256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46256</v>
      </c>
      <c r="F604" t="inlineStr">
        <is>
          <t>HALLANDS LÄN</t>
        </is>
      </c>
      <c r="G604" t="inlineStr">
        <is>
          <t>FALKENBERG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46256</v>
      </c>
      <c r="F605" t="inlineStr">
        <is>
          <t>HALLANDS LÄN</t>
        </is>
      </c>
      <c r="G605" t="inlineStr">
        <is>
          <t>FALKENBERG</t>
        </is>
      </c>
      <c r="H605" t="inlineStr">
        <is>
          <t>Kommuner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30715-2026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46211</v>
      </c>
      <c r="E606" s="1" t="n">
        <v>46256</v>
      </c>
      <c r="F606" t="inlineStr">
        <is>
          <t>HALLANDS LÄN</t>
        </is>
      </c>
      <c r="G606" t="inlineStr">
        <is>
          <t>FALKENBERG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46256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49126-2021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44453</v>
      </c>
      <c r="E608" s="1" t="n">
        <v>46256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45618</v>
      </c>
      <c r="E609" s="1" t="n">
        <v>46256</v>
      </c>
      <c r="F609" t="inlineStr">
        <is>
          <t>HALLANDS LÄN</t>
        </is>
      </c>
      <c r="G609" t="inlineStr">
        <is>
          <t>FALKENBERG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46256</v>
      </c>
      <c r="F610" t="inlineStr">
        <is>
          <t>HALLANDS LÄN</t>
        </is>
      </c>
      <c r="G610" t="inlineStr">
        <is>
          <t>FALKENBERG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47698-2024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46256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46256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44517</v>
      </c>
      <c r="E613" s="1" t="n">
        <v>46256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46256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45131</v>
      </c>
      <c r="E615" s="1" t="n">
        <v>46256</v>
      </c>
      <c r="F615" t="inlineStr">
        <is>
          <t>HALLANDS LÄN</t>
        </is>
      </c>
      <c r="G615" t="inlineStr">
        <is>
          <t>FALKENBERG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45357</v>
      </c>
      <c r="E616" s="1" t="n">
        <v>46256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10748-2022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44627</v>
      </c>
      <c r="E617" s="1" t="n">
        <v>46256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46256</v>
      </c>
      <c r="F618" t="inlineStr">
        <is>
          <t>HALLANDS LÄN</t>
        </is>
      </c>
      <c r="G618" t="inlineStr">
        <is>
          <t>FALKENBERG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46256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46142</v>
      </c>
      <c r="E620" s="1" t="n">
        <v>46256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44974</v>
      </c>
      <c r="E621" s="1" t="n">
        <v>46256</v>
      </c>
      <c r="F621" t="inlineStr">
        <is>
          <t>HALLANDS LÄN</t>
        </is>
      </c>
      <c r="G621" t="inlineStr">
        <is>
          <t>FALKENBERG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21008-2026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46142</v>
      </c>
      <c r="E622" s="1" t="n">
        <v>46256</v>
      </c>
      <c r="F622" t="inlineStr">
        <is>
          <t>HALLANDS LÄN</t>
        </is>
      </c>
      <c r="G622" t="inlineStr">
        <is>
          <t>FALKENBERG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46256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46256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46256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44946</v>
      </c>
      <c r="E626" s="1" t="n">
        <v>46256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46256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41425-2023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45175</v>
      </c>
      <c r="E628" s="1" t="n">
        <v>46256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41242-2023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45174</v>
      </c>
      <c r="E629" s="1" t="n">
        <v>46256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46256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4609-2024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45328</v>
      </c>
      <c r="E631" s="1" t="n">
        <v>46256</v>
      </c>
      <c r="F631" t="inlineStr">
        <is>
          <t>HALLANDS LÄN</t>
        </is>
      </c>
      <c r="G631" t="inlineStr">
        <is>
          <t>FALKENBERG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46256</v>
      </c>
      <c r="F632" t="inlineStr">
        <is>
          <t>HALLANDS LÄN</t>
        </is>
      </c>
      <c r="G632" t="inlineStr">
        <is>
          <t>FALKENBERG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45959</v>
      </c>
      <c r="E633" s="1" t="n">
        <v>46256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46256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45959</v>
      </c>
      <c r="E635" s="1" t="n">
        <v>46256</v>
      </c>
      <c r="F635" t="inlineStr">
        <is>
          <t>HALLANDS LÄN</t>
        </is>
      </c>
      <c r="G635" t="inlineStr">
        <is>
          <t>FALKENBERG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45635</v>
      </c>
      <c r="E636" s="1" t="n">
        <v>46256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22546-2023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46256</v>
      </c>
      <c r="F637" t="inlineStr">
        <is>
          <t>HALLANDS LÄN</t>
        </is>
      </c>
      <c r="G637" t="inlineStr">
        <is>
          <t>FALKENBERG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45777</v>
      </c>
      <c r="E638" s="1" t="n">
        <v>46256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48200-2025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45933</v>
      </c>
      <c r="E639" s="1" t="n">
        <v>46256</v>
      </c>
      <c r="F639" t="inlineStr">
        <is>
          <t>HALLANDS LÄN</t>
        </is>
      </c>
      <c r="G639" t="inlineStr">
        <is>
          <t>FALKENBERG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45482</v>
      </c>
      <c r="E640" s="1" t="n">
        <v>46256</v>
      </c>
      <c r="F640" t="inlineStr">
        <is>
          <t>HALLANDS LÄN</t>
        </is>
      </c>
      <c r="G640" t="inlineStr">
        <is>
          <t>FALKENBERG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45782</v>
      </c>
      <c r="E641" s="1" t="n">
        <v>46256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46256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45785</v>
      </c>
      <c r="E643" s="1" t="n">
        <v>46256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46256</v>
      </c>
      <c r="F644" t="inlineStr">
        <is>
          <t>HALLANDS LÄN</t>
        </is>
      </c>
      <c r="G644" t="inlineStr">
        <is>
          <t>FALKENBERG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46256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46256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45443</v>
      </c>
      <c r="E647" s="1" t="n">
        <v>46256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46522-2024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45582</v>
      </c>
      <c r="E648" s="1" t="n">
        <v>46256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46256</v>
      </c>
      <c r="F649" t="inlineStr">
        <is>
          <t>HALLANDS LÄN</t>
        </is>
      </c>
      <c r="G649" t="inlineStr">
        <is>
          <t>FALKENBERG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22913-2025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45790</v>
      </c>
      <c r="E650" s="1" t="n">
        <v>46256</v>
      </c>
      <c r="F650" t="inlineStr">
        <is>
          <t>HALLANDS LÄN</t>
        </is>
      </c>
      <c r="G650" t="inlineStr">
        <is>
          <t>FALKENBERG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15767-2025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45748</v>
      </c>
      <c r="E651" s="1" t="n">
        <v>46256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4440-2025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45686</v>
      </c>
      <c r="E652" s="1" t="n">
        <v>46256</v>
      </c>
      <c r="F652" t="inlineStr">
        <is>
          <t>HALLANDS LÄN</t>
        </is>
      </c>
      <c r="G652" t="inlineStr">
        <is>
          <t>FALKENBERG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45666</v>
      </c>
      <c r="E653" s="1" t="n">
        <v>46256</v>
      </c>
      <c r="F653" t="inlineStr">
        <is>
          <t>HALLANDS LÄN</t>
        </is>
      </c>
      <c r="G653" t="inlineStr">
        <is>
          <t>FALKENBERG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45799</v>
      </c>
      <c r="E654" s="1" t="n">
        <v>46256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203-2022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44574</v>
      </c>
      <c r="E655" s="1" t="n">
        <v>46256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46256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46256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5495-2021</t>
        </is>
      </c>
      <c r="B658" t="inlineStr">
        <is>
          <t>samrådsanmälan</t>
        </is>
      </c>
      <c r="C658" t="inlineStr">
        <is>
          <t>Basväg</t>
        </is>
      </c>
      <c r="D658" s="1" t="n">
        <v>44431</v>
      </c>
      <c r="E658" s="1" t="n">
        <v>46256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46256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46256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46256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46256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46256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46256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46256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46256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46256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46256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46256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46256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46256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46256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46256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46256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46256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46256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46256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46256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46256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46256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46256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46256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46256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46256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46256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46256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46256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46256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46256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46256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46256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46256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46256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46256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46256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2026-08-22T01:49:51Z</dcterms:created>
  <dcterms:modified xmlns:dcterms="http://purl.org/dc/terms/" xmlns:xsi="http://www.w3.org/2001/XMLSchema-instance" xsi:type="dcterms:W3CDTF">2026-08-22T01:49:52Z</dcterms:modified>
</cp:coreProperties>
</file>