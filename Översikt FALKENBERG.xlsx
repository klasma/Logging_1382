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46202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71731-2021</t>
        </is>
      </c>
      <c r="B6" s="1" t="n">
        <v>44539</v>
      </c>
      <c r="C6" s="1" t="n">
        <v>46202</v>
      </c>
      <c r="D6" t="inlineStr">
        <is>
          <t>HALLANDS LÄN</t>
        </is>
      </c>
      <c r="E6" t="inlineStr">
        <is>
          <t>FALKENBERG</t>
        </is>
      </c>
      <c r="G6" t="n">
        <v>1.2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Trädporella</t>
        </is>
      </c>
      <c r="S6">
        <f>HYPERLINK("https://klasma.github.io/Logging_1382/artfynd/A 71731-2021 artfynd.xlsx", "A 71731-2021")</f>
        <v/>
      </c>
      <c r="T6">
        <f>HYPERLINK("https://klasma.github.io/Logging_1382/kartor/A 71731-2021 karta.png", "A 71731-2021")</f>
        <v/>
      </c>
      <c r="V6">
        <f>HYPERLINK("https://klasma.github.io/Logging_1382/klagomål/A 71731-2021 FSC-klagomål.docx", "A 71731-2021")</f>
        <v/>
      </c>
      <c r="W6">
        <f>HYPERLINK("https://klasma.github.io/Logging_1382/klagomålsmail/A 71731-2021 FSC-klagomål mail.docx", "A 71731-2021")</f>
        <v/>
      </c>
      <c r="X6">
        <f>HYPERLINK("https://klasma.github.io/Logging_1382/tillsyn/A 71731-2021 tillsynsbegäran.docx", "A 71731-2021")</f>
        <v/>
      </c>
      <c r="Y6">
        <f>HYPERLINK("https://klasma.github.io/Logging_1382/tillsynsmail/A 71731-2021 tillsynsbegäran mail.docx", "A 71731-2021")</f>
        <v/>
      </c>
    </row>
    <row r="7" ht="15" customHeight="1">
      <c r="A7" t="inlineStr">
        <is>
          <t>A 9328-2022</t>
        </is>
      </c>
      <c r="B7" s="1" t="n">
        <v>44616</v>
      </c>
      <c r="C7" s="1" t="n">
        <v>46202</v>
      </c>
      <c r="D7" t="inlineStr">
        <is>
          <t>HALLANDS LÄN</t>
        </is>
      </c>
      <c r="E7" t="inlineStr">
        <is>
          <t>FALKENBERG</t>
        </is>
      </c>
      <c r="F7" t="inlineStr">
        <is>
          <t>Kommuner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Vedlavklubba
Skuggmossa</t>
        </is>
      </c>
      <c r="S7">
        <f>HYPERLINK("https://klasma.github.io/Logging_1382/artfynd/A 9328-2022 artfynd.xlsx", "A 9328-2022")</f>
        <v/>
      </c>
      <c r="T7">
        <f>HYPERLINK("https://klasma.github.io/Logging_1382/kartor/A 9328-2022 karta.png", "A 9328-2022")</f>
        <v/>
      </c>
      <c r="V7">
        <f>HYPERLINK("https://klasma.github.io/Logging_1382/klagomål/A 9328-2022 FSC-klagomål.docx", "A 9328-2022")</f>
        <v/>
      </c>
      <c r="W7">
        <f>HYPERLINK("https://klasma.github.io/Logging_1382/klagomålsmail/A 9328-2022 FSC-klagomål mail.docx", "A 9328-2022")</f>
        <v/>
      </c>
      <c r="X7">
        <f>HYPERLINK("https://klasma.github.io/Logging_1382/tillsyn/A 9328-2022 tillsynsbegäran.docx", "A 9328-2022")</f>
        <v/>
      </c>
      <c r="Y7">
        <f>HYPERLINK("https://klasma.github.io/Logging_1382/tillsynsmail/A 9328-2022 tillsynsbegäran mail.docx", "A 9328-2022")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46202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46202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46202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23928-2025</t>
        </is>
      </c>
      <c r="B11" s="1" t="n">
        <v>45795</v>
      </c>
      <c r="C11" s="1" t="n">
        <v>46202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 skärelav
Rostfläck</t>
        </is>
      </c>
      <c r="S11">
        <f>HYPERLINK("https://klasma.github.io/Logging_1382/artfynd/A 23928-2025 artfynd.xlsx", "A 23928-2025")</f>
        <v/>
      </c>
      <c r="T11">
        <f>HYPERLINK("https://klasma.github.io/Logging_1382/kartor/A 23928-2025 karta.png", "A 23928-2025")</f>
        <v/>
      </c>
      <c r="V11">
        <f>HYPERLINK("https://klasma.github.io/Logging_1382/klagomål/A 23928-2025 FSC-klagomål.docx", "A 23928-2025")</f>
        <v/>
      </c>
      <c r="W11">
        <f>HYPERLINK("https://klasma.github.io/Logging_1382/klagomålsmail/A 23928-2025 FSC-klagomål mail.docx", "A 23928-2025")</f>
        <v/>
      </c>
      <c r="X11">
        <f>HYPERLINK("https://klasma.github.io/Logging_1382/tillsyn/A 23928-2025 tillsynsbegäran.docx", "A 23928-2025")</f>
        <v/>
      </c>
      <c r="Y11">
        <f>HYPERLINK("https://klasma.github.io/Logging_1382/tillsynsmail/A 23928-2025 tillsynsbegäran mail.docx", "A 23928-2025")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46202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46202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46202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46202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46202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46202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41802-2024</t>
        </is>
      </c>
      <c r="B18" s="1" t="n">
        <v>45561</v>
      </c>
      <c r="C18" s="1" t="n">
        <v>46202</v>
      </c>
      <c r="D18" t="inlineStr">
        <is>
          <t>HALLANDS LÄN</t>
        </is>
      </c>
      <c r="E18" t="inlineStr">
        <is>
          <t>FALKENBERG</t>
        </is>
      </c>
      <c r="G18" t="n">
        <v>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HYPERLINK("https://klasma.github.io/Logging_1382/artfynd/A 41802-2024 artfynd.xlsx", "A 41802-2024")</f>
        <v/>
      </c>
      <c r="T18">
        <f>HYPERLINK("https://klasma.github.io/Logging_1382/kartor/A 41802-2024 karta.png", "A 41802-2024")</f>
        <v/>
      </c>
      <c r="V18">
        <f>HYPERLINK("https://klasma.github.io/Logging_1382/klagomål/A 41802-2024 FSC-klagomål.docx", "A 41802-2024")</f>
        <v/>
      </c>
      <c r="W18">
        <f>HYPERLINK("https://klasma.github.io/Logging_1382/klagomålsmail/A 41802-2024 FSC-klagomål mail.docx", "A 41802-2024")</f>
        <v/>
      </c>
      <c r="X18">
        <f>HYPERLINK("https://klasma.github.io/Logging_1382/tillsyn/A 41802-2024 tillsynsbegäran.docx", "A 41802-2024")</f>
        <v/>
      </c>
      <c r="Y18">
        <f>HYPERLINK("https://klasma.github.io/Logging_1382/tillsynsmail/A 41802-2024 tillsynsbegäran mail.docx", "A 41802-2024")</f>
        <v/>
      </c>
    </row>
    <row r="19" ht="15" customHeight="1">
      <c r="A19" t="inlineStr">
        <is>
          <t>A 46059-2023</t>
        </is>
      </c>
      <c r="B19" s="1" t="n">
        <v>45196</v>
      </c>
      <c r="C19" s="1" t="n">
        <v>46202</v>
      </c>
      <c r="D19" t="inlineStr">
        <is>
          <t>HALLANDS LÄN</t>
        </is>
      </c>
      <c r="E19" t="inlineStr">
        <is>
          <t>FALKENBERG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46059-2023 artfynd.xlsx", "A 46059-2023")</f>
        <v/>
      </c>
      <c r="T19">
        <f>HYPERLINK("https://klasma.github.io/Logging_1382/kartor/A 46059-2023 karta.png", "A 46059-2023")</f>
        <v/>
      </c>
      <c r="V19">
        <f>HYPERLINK("https://klasma.github.io/Logging_1382/klagomål/A 46059-2023 FSC-klagomål.docx", "A 46059-2023")</f>
        <v/>
      </c>
      <c r="W19">
        <f>HYPERLINK("https://klasma.github.io/Logging_1382/klagomålsmail/A 46059-2023 FSC-klagomål mail.docx", "A 46059-2023")</f>
        <v/>
      </c>
      <c r="X19">
        <f>HYPERLINK("https://klasma.github.io/Logging_1382/tillsyn/A 46059-2023 tillsynsbegäran.docx", "A 46059-2023")</f>
        <v/>
      </c>
      <c r="Y19">
        <f>HYPERLINK("https://klasma.github.io/Logging_1382/tillsynsmail/A 46059-2023 tillsynsbegäran mail.docx", "A 46059-2023")</f>
        <v/>
      </c>
    </row>
    <row r="20" ht="15" customHeight="1">
      <c r="A20" t="inlineStr">
        <is>
          <t>A 3062-2023</t>
        </is>
      </c>
      <c r="B20" s="1" t="n">
        <v>44946</v>
      </c>
      <c r="C20" s="1" t="n">
        <v>46202</v>
      </c>
      <c r="D20" t="inlineStr">
        <is>
          <t>HALLANDS LÄN</t>
        </is>
      </c>
      <c r="E20" t="inlineStr">
        <is>
          <t>FALKENBERG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HYPERLINK("https://klasma.github.io/Logging_1382/artfynd/A 3062-2023 artfynd.xlsx", "A 3062-2023")</f>
        <v/>
      </c>
      <c r="T20">
        <f>HYPERLINK("https://klasma.github.io/Logging_1382/kartor/A 3062-2023 karta.png", "A 3062-2023")</f>
        <v/>
      </c>
      <c r="V20">
        <f>HYPERLINK("https://klasma.github.io/Logging_1382/klagomål/A 3062-2023 FSC-klagomål.docx", "A 3062-2023")</f>
        <v/>
      </c>
      <c r="W20">
        <f>HYPERLINK("https://klasma.github.io/Logging_1382/klagomålsmail/A 3062-2023 FSC-klagomål mail.docx", "A 3062-2023")</f>
        <v/>
      </c>
      <c r="X20">
        <f>HYPERLINK("https://klasma.github.io/Logging_1382/tillsyn/A 3062-2023 tillsynsbegäran.docx", "A 3062-2023")</f>
        <v/>
      </c>
      <c r="Y20">
        <f>HYPERLINK("https://klasma.github.io/Logging_1382/tillsynsmail/A 3062-2023 tillsynsbegäran mail.docx", "A 3062-2023")</f>
        <v/>
      </c>
    </row>
    <row r="21" ht="15" customHeight="1">
      <c r="A21" t="inlineStr">
        <is>
          <t>A 50078-2024</t>
        </is>
      </c>
      <c r="B21" s="1" t="n">
        <v>45600</v>
      </c>
      <c r="C21" s="1" t="n">
        <v>46202</v>
      </c>
      <c r="D21" t="inlineStr">
        <is>
          <t>HALLANDS LÄN</t>
        </is>
      </c>
      <c r="E21" t="inlineStr">
        <is>
          <t>FALKENBERG</t>
        </is>
      </c>
      <c r="G21" t="n">
        <v>3.6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HYPERLINK("https://klasma.github.io/Logging_1382/artfynd/A 50078-2024 artfynd.xlsx", "A 50078-2024")</f>
        <v/>
      </c>
      <c r="T21">
        <f>HYPERLINK("https://klasma.github.io/Logging_1382/kartor/A 50078-2024 karta.png", "A 50078-2024")</f>
        <v/>
      </c>
      <c r="V21">
        <f>HYPERLINK("https://klasma.github.io/Logging_1382/klagomål/A 50078-2024 FSC-klagomål.docx", "A 50078-2024")</f>
        <v/>
      </c>
      <c r="W21">
        <f>HYPERLINK("https://klasma.github.io/Logging_1382/klagomålsmail/A 50078-2024 FSC-klagomål mail.docx", "A 50078-2024")</f>
        <v/>
      </c>
      <c r="X21">
        <f>HYPERLINK("https://klasma.github.io/Logging_1382/tillsyn/A 50078-2024 tillsynsbegäran.docx", "A 50078-2024")</f>
        <v/>
      </c>
      <c r="Y21">
        <f>HYPERLINK("https://klasma.github.io/Logging_1382/tillsynsmail/A 50078-2024 tillsynsbegäran mail.docx", "A 50078-2024")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46202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62755-2022</t>
        </is>
      </c>
      <c r="B23" s="1" t="n">
        <v>44926</v>
      </c>
      <c r="C23" s="1" t="n">
        <v>46202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Stjärnstarr</t>
        </is>
      </c>
      <c r="S23">
        <f>HYPERLINK("https://klasma.github.io/Logging_1382/artfynd/A 62755-2022 artfynd.xlsx", "A 62755-2022")</f>
        <v/>
      </c>
      <c r="T23">
        <f>HYPERLINK("https://klasma.github.io/Logging_1382/kartor/A 62755-2022 karta.png", "A 62755-2022")</f>
        <v/>
      </c>
      <c r="V23">
        <f>HYPERLINK("https://klasma.github.io/Logging_1382/klagomål/A 62755-2022 FSC-klagomål.docx", "A 62755-2022")</f>
        <v/>
      </c>
      <c r="W23">
        <f>HYPERLINK("https://klasma.github.io/Logging_1382/klagomålsmail/A 62755-2022 FSC-klagomål mail.docx", "A 62755-2022")</f>
        <v/>
      </c>
      <c r="X23">
        <f>HYPERLINK("https://klasma.github.io/Logging_1382/tillsyn/A 62755-2022 tillsynsbegäran.docx", "A 62755-2022")</f>
        <v/>
      </c>
      <c r="Y23">
        <f>HYPERLINK("https://klasma.github.io/Logging_1382/tillsynsmail/A 62755-2022 tillsynsbegäran mail.docx", "A 62755-2022")</f>
        <v/>
      </c>
    </row>
    <row r="24" ht="15" customHeight="1">
      <c r="A24" t="inlineStr">
        <is>
          <t>A 58534-2022</t>
        </is>
      </c>
      <c r="B24" s="1" t="n">
        <v>44902</v>
      </c>
      <c r="C24" s="1" t="n">
        <v>46202</v>
      </c>
      <c r="D24" t="inlineStr">
        <is>
          <t>HALLANDS LÄN</t>
        </is>
      </c>
      <c r="E24" t="inlineStr">
        <is>
          <t>FALKENBERG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HYPERLINK("https://klasma.github.io/Logging_1382/artfynd/A 58534-2022 artfynd.xlsx", "A 58534-2022")</f>
        <v/>
      </c>
      <c r="T24">
        <f>HYPERLINK("https://klasma.github.io/Logging_1382/kartor/A 58534-2022 karta.png", "A 58534-2022")</f>
        <v/>
      </c>
      <c r="V24">
        <f>HYPERLINK("https://klasma.github.io/Logging_1382/klagomål/A 58534-2022 FSC-klagomål.docx", "A 58534-2022")</f>
        <v/>
      </c>
      <c r="W24">
        <f>HYPERLINK("https://klasma.github.io/Logging_1382/klagomålsmail/A 58534-2022 FSC-klagomål mail.docx", "A 58534-2022")</f>
        <v/>
      </c>
      <c r="X24">
        <f>HYPERLINK("https://klasma.github.io/Logging_1382/tillsyn/A 58534-2022 tillsynsbegäran.docx", "A 58534-2022")</f>
        <v/>
      </c>
      <c r="Y24">
        <f>HYPERLINK("https://klasma.github.io/Logging_1382/tillsynsmail/A 58534-2022 tillsynsbegäran mail.docx", "A 58534-2022")</f>
        <v/>
      </c>
    </row>
    <row r="25" ht="15" customHeight="1">
      <c r="A25" t="inlineStr">
        <is>
          <t>A 42551-2024</t>
        </is>
      </c>
      <c r="B25" s="1" t="n">
        <v>45565</v>
      </c>
      <c r="C25" s="1" t="n">
        <v>46202</v>
      </c>
      <c r="D25" t="inlineStr">
        <is>
          <t>HALLANDS LÄN</t>
        </is>
      </c>
      <c r="E25" t="inlineStr">
        <is>
          <t>FALKENBERG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HYPERLINK("https://klasma.github.io/Logging_1382/artfynd/A 42551-2024 artfynd.xlsx", "A 42551-2024")</f>
        <v/>
      </c>
      <c r="T25">
        <f>HYPERLINK("https://klasma.github.io/Logging_1382/kartor/A 42551-2024 karta.png", "A 42551-2024")</f>
        <v/>
      </c>
      <c r="V25">
        <f>HYPERLINK("https://klasma.github.io/Logging_1382/klagomål/A 42551-2024 FSC-klagomål.docx", "A 42551-2024")</f>
        <v/>
      </c>
      <c r="W25">
        <f>HYPERLINK("https://klasma.github.io/Logging_1382/klagomålsmail/A 42551-2024 FSC-klagomål mail.docx", "A 42551-2024")</f>
        <v/>
      </c>
      <c r="X25">
        <f>HYPERLINK("https://klasma.github.io/Logging_1382/tillsyn/A 42551-2024 tillsynsbegäran.docx", "A 42551-2024")</f>
        <v/>
      </c>
      <c r="Y25">
        <f>HYPERLINK("https://klasma.github.io/Logging_1382/tillsynsmail/A 42551-2024 tillsynsbegäran mail.docx", "A 42551-2024")</f>
        <v/>
      </c>
      <c r="Z25">
        <f>HYPERLINK("https://klasma.github.io/Logging_1382/fåglar/A 42551-2024 prioriterade fågelarter.docx", "A 42551-2024")</f>
        <v/>
      </c>
    </row>
    <row r="26" ht="15" customHeight="1">
      <c r="A26" t="inlineStr">
        <is>
          <t>A 45977-2024</t>
        </is>
      </c>
      <c r="B26" s="1" t="n">
        <v>45580</v>
      </c>
      <c r="C26" s="1" t="n">
        <v>46202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Lax</t>
        </is>
      </c>
      <c r="S26">
        <f>HYPERLINK("https://klasma.github.io/Logging_1382/artfynd/A 45977-2024 artfynd.xlsx", "A 45977-2024")</f>
        <v/>
      </c>
      <c r="T26">
        <f>HYPERLINK("https://klasma.github.io/Logging_1382/kartor/A 45977-2024 karta.png", "A 45977-2024")</f>
        <v/>
      </c>
      <c r="V26">
        <f>HYPERLINK("https://klasma.github.io/Logging_1382/klagomål/A 45977-2024 FSC-klagomål.docx", "A 45977-2024")</f>
        <v/>
      </c>
      <c r="W26">
        <f>HYPERLINK("https://klasma.github.io/Logging_1382/klagomålsmail/A 45977-2024 FSC-klagomål mail.docx", "A 45977-2024")</f>
        <v/>
      </c>
      <c r="X26">
        <f>HYPERLINK("https://klasma.github.io/Logging_1382/tillsyn/A 45977-2024 tillsynsbegäran.docx", "A 45977-2024")</f>
        <v/>
      </c>
      <c r="Y26">
        <f>HYPERLINK("https://klasma.github.io/Logging_1382/tillsynsmail/A 45977-2024 tillsynsbegäran mail.docx", "A 45977-2024")</f>
        <v/>
      </c>
    </row>
    <row r="27" ht="15" customHeight="1">
      <c r="A27" t="inlineStr">
        <is>
          <t>A 55880-2023</t>
        </is>
      </c>
      <c r="B27" s="1" t="n">
        <v>45239</v>
      </c>
      <c r="C27" s="1" t="n">
        <v>46202</v>
      </c>
      <c r="D27" t="inlineStr">
        <is>
          <t>HALLANDS LÄN</t>
        </is>
      </c>
      <c r="E27" t="inlineStr">
        <is>
          <t>FALKENBERG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HYPERLINK("https://klasma.github.io/Logging_1382/artfynd/A 55880-2023 artfynd.xlsx", "A 55880-2023")</f>
        <v/>
      </c>
      <c r="T27">
        <f>HYPERLINK("https://klasma.github.io/Logging_1382/kartor/A 55880-2023 karta.png", "A 55880-2023")</f>
        <v/>
      </c>
      <c r="V27">
        <f>HYPERLINK("https://klasma.github.io/Logging_1382/klagomål/A 55880-2023 FSC-klagomål.docx", "A 55880-2023")</f>
        <v/>
      </c>
      <c r="W27">
        <f>HYPERLINK("https://klasma.github.io/Logging_1382/klagomålsmail/A 55880-2023 FSC-klagomål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HYPERLINK("https://klasma.github.io/Logging_1382/tillsynsmail/A 55880-2023 tillsynsbegäran mail.docx", "A 55880-2023")</f>
        <v/>
      </c>
    </row>
    <row r="28" ht="15" customHeight="1">
      <c r="A28" t="inlineStr">
        <is>
          <t>A 63247-2023</t>
        </is>
      </c>
      <c r="B28" s="1" t="n">
        <v>45273</v>
      </c>
      <c r="C28" s="1" t="n">
        <v>46202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Myskbock</t>
        </is>
      </c>
      <c r="S28">
        <f>HYPERLINK("https://klasma.github.io/Logging_1382/artfynd/A 63247-2023 artfynd.xlsx", "A 63247-2023")</f>
        <v/>
      </c>
      <c r="T28">
        <f>HYPERLINK("https://klasma.github.io/Logging_1382/kartor/A 63247-2023 karta.png", "A 63247-2023")</f>
        <v/>
      </c>
      <c r="V28">
        <f>HYPERLINK("https://klasma.github.io/Logging_1382/klagomål/A 63247-2023 FSC-klagomål.docx", "A 63247-2023")</f>
        <v/>
      </c>
      <c r="W28">
        <f>HYPERLINK("https://klasma.github.io/Logging_1382/klagomålsmail/A 63247-2023 FSC-klagomål mail.docx", "A 63247-2023")</f>
        <v/>
      </c>
      <c r="X28">
        <f>HYPERLINK("https://klasma.github.io/Logging_1382/tillsyn/A 63247-2023 tillsynsbegäran.docx", "A 63247-2023")</f>
        <v/>
      </c>
      <c r="Y28">
        <f>HYPERLINK("https://klasma.github.io/Logging_1382/tillsynsmail/A 63247-2023 tillsynsbegäran mail.docx", "A 63247-2023")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46202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63130-2023</t>
        </is>
      </c>
      <c r="B30" s="1" t="n">
        <v>45273</v>
      </c>
      <c r="C30" s="1" t="n">
        <v>46202</v>
      </c>
      <c r="D30" t="inlineStr">
        <is>
          <t>HALLANDS LÄN</t>
        </is>
      </c>
      <c r="E30" t="inlineStr">
        <is>
          <t>FALKENBERG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HYPERLINK("https://klasma.github.io/Logging_1382/artfynd/A 63130-2023 artfynd.xlsx", "A 63130-2023")</f>
        <v/>
      </c>
      <c r="T30">
        <f>HYPERLINK("https://klasma.github.io/Logging_1382/kartor/A 63130-2023 karta.png", "A 63130-2023")</f>
        <v/>
      </c>
      <c r="V30">
        <f>HYPERLINK("https://klasma.github.io/Logging_1382/klagomål/A 63130-2023 FSC-klagomål.docx", "A 63130-2023")</f>
        <v/>
      </c>
      <c r="W30">
        <f>HYPERLINK("https://klasma.github.io/Logging_1382/klagomålsmail/A 63130-2023 FSC-klagomål mail.docx", "A 63130-2023")</f>
        <v/>
      </c>
      <c r="X30">
        <f>HYPERLINK("https://klasma.github.io/Logging_1382/tillsyn/A 63130-2023 tillsynsbegäran.docx", "A 63130-2023")</f>
        <v/>
      </c>
      <c r="Y30">
        <f>HYPERLINK("https://klasma.github.io/Logging_1382/tillsynsmail/A 63130-2023 tillsynsbegäran mail.docx", "A 63130-2023")</f>
        <v/>
      </c>
    </row>
    <row r="31" ht="15" customHeight="1">
      <c r="A31" t="inlineStr">
        <is>
          <t>A 7696-2023</t>
        </is>
      </c>
      <c r="B31" s="1" t="n">
        <v>44972</v>
      </c>
      <c r="C31" s="1" t="n">
        <v>46202</v>
      </c>
      <c r="D31" t="inlineStr">
        <is>
          <t>HALLANDS LÄN</t>
        </is>
      </c>
      <c r="E31" t="inlineStr">
        <is>
          <t>FALKENBERG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HYPERLINK("https://klasma.github.io/Logging_1382/artfynd/A 7696-2023 artfynd.xlsx", "A 7696-2023")</f>
        <v/>
      </c>
      <c r="T31">
        <f>HYPERLINK("https://klasma.github.io/Logging_1382/kartor/A 7696-2023 karta.png", "A 7696-2023")</f>
        <v/>
      </c>
      <c r="V31">
        <f>HYPERLINK("https://klasma.github.io/Logging_1382/klagomål/A 7696-2023 FSC-klagomål.docx", "A 7696-2023")</f>
        <v/>
      </c>
      <c r="W31">
        <f>HYPERLINK("https://klasma.github.io/Logging_1382/klagomålsmail/A 7696-2023 FSC-klagomål mail.docx", "A 7696-2023")</f>
        <v/>
      </c>
      <c r="X31">
        <f>HYPERLINK("https://klasma.github.io/Logging_1382/tillsyn/A 7696-2023 tillsynsbegäran.docx", "A 7696-2023")</f>
        <v/>
      </c>
      <c r="Y31">
        <f>HYPERLINK("https://klasma.github.io/Logging_1382/tillsynsmail/A 7696-2023 tillsynsbegäran mail.docx", "A 7696-2023")</f>
        <v/>
      </c>
    </row>
    <row r="32" ht="15" customHeight="1">
      <c r="A32" t="inlineStr">
        <is>
          <t>A 43912-2025</t>
        </is>
      </c>
      <c r="B32" s="1" t="n">
        <v>45914</v>
      </c>
      <c r="C32" s="1" t="n">
        <v>46202</v>
      </c>
      <c r="D32" t="inlineStr">
        <is>
          <t>HALLANDS LÄN</t>
        </is>
      </c>
      <c r="E32" t="inlineStr">
        <is>
          <t>FALKENBERG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HYPERLINK("https://klasma.github.io/Logging_1382/artfynd/A 43912-2025 artfynd.xlsx", "A 43912-2025")</f>
        <v/>
      </c>
      <c r="T32">
        <f>HYPERLINK("https://klasma.github.io/Logging_1382/kartor/A 43912-2025 karta.png", "A 43912-2025")</f>
        <v/>
      </c>
      <c r="V32">
        <f>HYPERLINK("https://klasma.github.io/Logging_1382/klagomål/A 43912-2025 FSC-klagomål.docx", "A 43912-2025")</f>
        <v/>
      </c>
      <c r="W32">
        <f>HYPERLINK("https://klasma.github.io/Logging_1382/klagomålsmail/A 43912-2025 FSC-klagomål mail.docx", "A 43912-2025")</f>
        <v/>
      </c>
      <c r="X32">
        <f>HYPERLINK("https://klasma.github.io/Logging_1382/tillsyn/A 43912-2025 tillsynsbegäran.docx", "A 43912-2025")</f>
        <v/>
      </c>
      <c r="Y32">
        <f>HYPERLINK("https://klasma.github.io/Logging_1382/tillsynsmail/A 43912-2025 tillsynsbegäran mail.docx", "A 43912-2025")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46202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43326-2021</t>
        </is>
      </c>
      <c r="B34" s="1" t="n">
        <v>44432</v>
      </c>
      <c r="C34" s="1" t="n">
        <v>46202</v>
      </c>
      <c r="D34" t="inlineStr">
        <is>
          <t>HALLANDS LÄN</t>
        </is>
      </c>
      <c r="E34" t="inlineStr">
        <is>
          <t>FALKENBERG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7593-2022</t>
        </is>
      </c>
      <c r="B35" s="1" t="n">
        <v>44607</v>
      </c>
      <c r="C35" s="1" t="n">
        <v>46202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73934-2021</t>
        </is>
      </c>
      <c r="B36" s="1" t="n">
        <v>44553</v>
      </c>
      <c r="C36" s="1" t="n">
        <v>46202</v>
      </c>
      <c r="D36" t="inlineStr">
        <is>
          <t>HALLANDS LÄN</t>
        </is>
      </c>
      <c r="E36" t="inlineStr">
        <is>
          <t>FALKENBERG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49476-2021</t>
        </is>
      </c>
      <c r="B37" s="1" t="n">
        <v>44454</v>
      </c>
      <c r="C37" s="1" t="n">
        <v>46202</v>
      </c>
      <c r="D37" t="inlineStr">
        <is>
          <t>HALLANDS LÄN</t>
        </is>
      </c>
      <c r="E37" t="inlineStr">
        <is>
          <t>FALKENBERG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55649-2021</t>
        </is>
      </c>
      <c r="B38" s="1" t="n">
        <v>44476</v>
      </c>
      <c r="C38" s="1" t="n">
        <v>46202</v>
      </c>
      <c r="D38" t="inlineStr">
        <is>
          <t>HALLANDS LÄN</t>
        </is>
      </c>
      <c r="E38" t="inlineStr">
        <is>
          <t>FALKENBERG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46202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46202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46202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46202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46202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46202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46202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46202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46202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46202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46202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46202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46202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46202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46202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46202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46202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46202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46202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46202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46202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46202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46202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6322-2022</t>
        </is>
      </c>
      <c r="B62" s="1" t="n">
        <v>44600</v>
      </c>
      <c r="C62" s="1" t="n">
        <v>46202</v>
      </c>
      <c r="D62" t="inlineStr">
        <is>
          <t>HALLANDS LÄN</t>
        </is>
      </c>
      <c r="E62" t="inlineStr">
        <is>
          <t>FALKENBERG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41284-2021</t>
        </is>
      </c>
      <c r="B63" s="1" t="n">
        <v>44424</v>
      </c>
      <c r="C63" s="1" t="n">
        <v>46202</v>
      </c>
      <c r="D63" t="inlineStr">
        <is>
          <t>HALLANDS LÄN</t>
        </is>
      </c>
      <c r="E63" t="inlineStr">
        <is>
          <t>FALKENBERG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9323-2022</t>
        </is>
      </c>
      <c r="B64" s="1" t="n">
        <v>44616</v>
      </c>
      <c r="C64" s="1" t="n">
        <v>46202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</v>
      </c>
      <c r="C65" s="1" t="n">
        <v>46202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46202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19347-2022</t>
        </is>
      </c>
      <c r="B67" s="1" t="n">
        <v>44692</v>
      </c>
      <c r="C67" s="1" t="n">
        <v>46202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19354-2022</t>
        </is>
      </c>
      <c r="B68" s="1" t="n">
        <v>44692</v>
      </c>
      <c r="C68" s="1" t="n">
        <v>46202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46202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23136-2022</t>
        </is>
      </c>
      <c r="B70" s="1" t="n">
        <v>44719</v>
      </c>
      <c r="C70" s="1" t="n">
        <v>46202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</v>
      </c>
      <c r="C71" s="1" t="n">
        <v>46202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</v>
      </c>
      <c r="C72" s="1" t="n">
        <v>46202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</v>
      </c>
      <c r="C73" s="1" t="n">
        <v>46202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46202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22002-2022</t>
        </is>
      </c>
      <c r="B75" s="1" t="n">
        <v>44711</v>
      </c>
      <c r="C75" s="1" t="n">
        <v>46202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53449-2022</t>
        </is>
      </c>
      <c r="B76" s="1" t="n">
        <v>44879</v>
      </c>
      <c r="C76" s="1" t="n">
        <v>46202</v>
      </c>
      <c r="D76" t="inlineStr">
        <is>
          <t>HALLANDS LÄN</t>
        </is>
      </c>
      <c r="E76" t="inlineStr">
        <is>
          <t>FALKENBERG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46202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46202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50546-2022</t>
        </is>
      </c>
      <c r="B79" s="1" t="n">
        <v>44866</v>
      </c>
      <c r="C79" s="1" t="n">
        <v>46202</v>
      </c>
      <c r="D79" t="inlineStr">
        <is>
          <t>HALLANDS LÄN</t>
        </is>
      </c>
      <c r="E79" t="inlineStr">
        <is>
          <t>FALKENBERG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46202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46202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52772-2021</t>
        </is>
      </c>
      <c r="B82" s="1" t="n">
        <v>44467</v>
      </c>
      <c r="C82" s="1" t="n">
        <v>46202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38582-2022</t>
        </is>
      </c>
      <c r="B83" s="1" t="n">
        <v>44813</v>
      </c>
      <c r="C83" s="1" t="n">
        <v>46202</v>
      </c>
      <c r="D83" t="inlineStr">
        <is>
          <t>HALLANDS LÄN</t>
        </is>
      </c>
      <c r="E83" t="inlineStr">
        <is>
          <t>FALKENBERG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46202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41732-2021</t>
        </is>
      </c>
      <c r="B85" s="1" t="n">
        <v>44425</v>
      </c>
      <c r="C85" s="1" t="n">
        <v>46202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4993-2022</t>
        </is>
      </c>
      <c r="B86" s="1" t="n">
        <v>44593</v>
      </c>
      <c r="C86" s="1" t="n">
        <v>46202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52771-2021</t>
        </is>
      </c>
      <c r="B87" s="1" t="n">
        <v>44467</v>
      </c>
      <c r="C87" s="1" t="n">
        <v>46202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53076-2021</t>
        </is>
      </c>
      <c r="B88" s="1" t="n">
        <v>44467</v>
      </c>
      <c r="C88" s="1" t="n">
        <v>46202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</v>
      </c>
      <c r="C89" s="1" t="n">
        <v>46202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</v>
      </c>
      <c r="C90" s="1" t="n">
        <v>46202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12537-2022</t>
        </is>
      </c>
      <c r="B91" s="1" t="n">
        <v>44638</v>
      </c>
      <c r="C91" s="1" t="n">
        <v>46202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46905-2021</t>
        </is>
      </c>
      <c r="B92" s="1" t="n">
        <v>44446</v>
      </c>
      <c r="C92" s="1" t="n">
        <v>46202</v>
      </c>
      <c r="D92" t="inlineStr">
        <is>
          <t>HALLANDS LÄN</t>
        </is>
      </c>
      <c r="E92" t="inlineStr">
        <is>
          <t>FALKENBERG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1781-2022</t>
        </is>
      </c>
      <c r="B93" s="1" t="n">
        <v>44574</v>
      </c>
      <c r="C93" s="1" t="n">
        <v>46202</v>
      </c>
      <c r="D93" t="inlineStr">
        <is>
          <t>HALLANDS LÄN</t>
        </is>
      </c>
      <c r="E93" t="inlineStr">
        <is>
          <t>FALKENBERG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38573-2021</t>
        </is>
      </c>
      <c r="B94" s="1" t="n">
        <v>44407</v>
      </c>
      <c r="C94" s="1" t="n">
        <v>46202</v>
      </c>
      <c r="D94" t="inlineStr">
        <is>
          <t>HALLANDS LÄN</t>
        </is>
      </c>
      <c r="E94" t="inlineStr">
        <is>
          <t>FALKENBERG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46202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46202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46202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46202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56775-2021</t>
        </is>
      </c>
      <c r="B99" s="1" t="n">
        <v>44481</v>
      </c>
      <c r="C99" s="1" t="n">
        <v>46202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71740-2021</t>
        </is>
      </c>
      <c r="B100" s="1" t="n">
        <v>44543</v>
      </c>
      <c r="C100" s="1" t="n">
        <v>46202</v>
      </c>
      <c r="D100" t="inlineStr">
        <is>
          <t>HALLANDS LÄN</t>
        </is>
      </c>
      <c r="E100" t="inlineStr">
        <is>
          <t>FALKENBERG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46202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71703-2021</t>
        </is>
      </c>
      <c r="B102" s="1" t="n">
        <v>44539</v>
      </c>
      <c r="C102" s="1" t="n">
        <v>46202</v>
      </c>
      <c r="D102" t="inlineStr">
        <is>
          <t>HALLANDS LÄN</t>
        </is>
      </c>
      <c r="E102" t="inlineStr">
        <is>
          <t>FALKENBERG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71732-2021</t>
        </is>
      </c>
      <c r="B103" s="1" t="n">
        <v>44539</v>
      </c>
      <c r="C103" s="1" t="n">
        <v>46202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46202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59209-2023</t>
        </is>
      </c>
      <c r="B105" s="1" t="n">
        <v>45252</v>
      </c>
      <c r="C105" s="1" t="n">
        <v>46202</v>
      </c>
      <c r="D105" t="inlineStr">
        <is>
          <t>HALLANDS LÄN</t>
        </is>
      </c>
      <c r="E105" t="inlineStr">
        <is>
          <t>FALKENBERG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52477-2021</t>
        </is>
      </c>
      <c r="B106" s="1" t="n">
        <v>44466</v>
      </c>
      <c r="C106" s="1" t="n">
        <v>46202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46202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11056-2022</t>
        </is>
      </c>
      <c r="B108" s="1" t="n">
        <v>44628</v>
      </c>
      <c r="C108" s="1" t="n">
        <v>46202</v>
      </c>
      <c r="D108" t="inlineStr">
        <is>
          <t>HALLANDS LÄN</t>
        </is>
      </c>
      <c r="E108" t="inlineStr">
        <is>
          <t>FALKENBERG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28946-2024</t>
        </is>
      </c>
      <c r="B109" s="1" t="n">
        <v>45481</v>
      </c>
      <c r="C109" s="1" t="n">
        <v>46202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43131-2021</t>
        </is>
      </c>
      <c r="B110" s="1" t="n">
        <v>44431</v>
      </c>
      <c r="C110" s="1" t="n">
        <v>46202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46202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20352-2024</t>
        </is>
      </c>
      <c r="B112" s="1" t="n">
        <v>45435</v>
      </c>
      <c r="C112" s="1" t="n">
        <v>46202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54170-2023</t>
        </is>
      </c>
      <c r="B113" s="1" t="n">
        <v>45232</v>
      </c>
      <c r="C113" s="1" t="n">
        <v>46202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3727-2024</t>
        </is>
      </c>
      <c r="B114" s="1" t="n">
        <v>45321</v>
      </c>
      <c r="C114" s="1" t="n">
        <v>46202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58939-2022</t>
        </is>
      </c>
      <c r="B115" s="1" t="n">
        <v>44903</v>
      </c>
      <c r="C115" s="1" t="n">
        <v>46202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2078-2022</t>
        </is>
      </c>
      <c r="B116" s="1" t="n">
        <v>44576</v>
      </c>
      <c r="C116" s="1" t="n">
        <v>46202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46202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56925-2024</t>
        </is>
      </c>
      <c r="B118" s="1" t="n">
        <v>45628</v>
      </c>
      <c r="C118" s="1" t="n">
        <v>46202</v>
      </c>
      <c r="D118" t="inlineStr">
        <is>
          <t>HALLANDS LÄN</t>
        </is>
      </c>
      <c r="E118" t="inlineStr">
        <is>
          <t>FALKENBERG</t>
        </is>
      </c>
      <c r="F118" t="inlineStr">
        <is>
          <t>Kommuner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18544-2024</t>
        </is>
      </c>
      <c r="B119" s="1" t="n">
        <v>45425</v>
      </c>
      <c r="C119" s="1" t="n">
        <v>46202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14895-2023</t>
        </is>
      </c>
      <c r="B120" s="1" t="n">
        <v>45015</v>
      </c>
      <c r="C120" s="1" t="n">
        <v>46202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10003-2024</t>
        </is>
      </c>
      <c r="B121" s="1" t="n">
        <v>45363</v>
      </c>
      <c r="C121" s="1" t="n">
        <v>46202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</v>
      </c>
      <c r="C122" s="1" t="n">
        <v>46202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19118-2023</t>
        </is>
      </c>
      <c r="B123" s="1" t="n">
        <v>45048</v>
      </c>
      <c r="C123" s="1" t="n">
        <v>46202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9917-2023</t>
        </is>
      </c>
      <c r="B124" s="1" t="n">
        <v>44985</v>
      </c>
      <c r="C124" s="1" t="n">
        <v>46202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42658-2024</t>
        </is>
      </c>
      <c r="B125" s="1" t="n">
        <v>45566</v>
      </c>
      <c r="C125" s="1" t="n">
        <v>46202</v>
      </c>
      <c r="D125" t="inlineStr">
        <is>
          <t>HALLANDS LÄN</t>
        </is>
      </c>
      <c r="E125" t="inlineStr">
        <is>
          <t>FALKENBERG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42798-2024</t>
        </is>
      </c>
      <c r="B126" s="1" t="n">
        <v>45566</v>
      </c>
      <c r="C126" s="1" t="n">
        <v>46202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42799-2024</t>
        </is>
      </c>
      <c r="B127" s="1" t="n">
        <v>45566</v>
      </c>
      <c r="C127" s="1" t="n">
        <v>46202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39570-2024</t>
        </is>
      </c>
      <c r="B128" s="1" t="n">
        <v>45552</v>
      </c>
      <c r="C128" s="1" t="n">
        <v>46202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</v>
      </c>
      <c r="C129" s="1" t="n">
        <v>46202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17450-2023</t>
        </is>
      </c>
      <c r="B130" s="1" t="n">
        <v>45036</v>
      </c>
      <c r="C130" s="1" t="n">
        <v>46202</v>
      </c>
      <c r="D130" t="inlineStr">
        <is>
          <t>HALLANDS LÄN</t>
        </is>
      </c>
      <c r="E130" t="inlineStr">
        <is>
          <t>FALKENBERG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35841-2023</t>
        </is>
      </c>
      <c r="B131" s="1" t="n">
        <v>45148</v>
      </c>
      <c r="C131" s="1" t="n">
        <v>46202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55270-2022</t>
        </is>
      </c>
      <c r="B132" s="1" t="n">
        <v>44887</v>
      </c>
      <c r="C132" s="1" t="n">
        <v>46202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58495-2024</t>
        </is>
      </c>
      <c r="B133" s="1" t="n">
        <v>45635</v>
      </c>
      <c r="C133" s="1" t="n">
        <v>46202</v>
      </c>
      <c r="D133" t="inlineStr">
        <is>
          <t>HALLANDS LÄN</t>
        </is>
      </c>
      <c r="E133" t="inlineStr">
        <is>
          <t>FALKENBERG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58560-2024</t>
        </is>
      </c>
      <c r="B134" s="1" t="n">
        <v>45635</v>
      </c>
      <c r="C134" s="1" t="n">
        <v>46202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41526-2022</t>
        </is>
      </c>
      <c r="B135" s="1" t="n">
        <v>44827</v>
      </c>
      <c r="C135" s="1" t="n">
        <v>46202</v>
      </c>
      <c r="D135" t="inlineStr">
        <is>
          <t>HALLANDS LÄN</t>
        </is>
      </c>
      <c r="E135" t="inlineStr">
        <is>
          <t>FALKENBERG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51391-2023</t>
        </is>
      </c>
      <c r="B136" s="1" t="n">
        <v>45219</v>
      </c>
      <c r="C136" s="1" t="n">
        <v>46202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38010-2022</t>
        </is>
      </c>
      <c r="B137" s="1" t="n">
        <v>44811</v>
      </c>
      <c r="C137" s="1" t="n">
        <v>46202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38419-2024</t>
        </is>
      </c>
      <c r="B138" s="1" t="n">
        <v>45546</v>
      </c>
      <c r="C138" s="1" t="n">
        <v>46202</v>
      </c>
      <c r="D138" t="inlineStr">
        <is>
          <t>HALLANDS LÄN</t>
        </is>
      </c>
      <c r="E138" t="inlineStr">
        <is>
          <t>FALKENBERG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13168-2025</t>
        </is>
      </c>
      <c r="B139" s="1" t="n">
        <v>45735</v>
      </c>
      <c r="C139" s="1" t="n">
        <v>46202</v>
      </c>
      <c r="D139" t="inlineStr">
        <is>
          <t>HALLANDS LÄN</t>
        </is>
      </c>
      <c r="E139" t="inlineStr">
        <is>
          <t>FALKENBERG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3061-2023</t>
        </is>
      </c>
      <c r="B140" s="1" t="n">
        <v>44946</v>
      </c>
      <c r="C140" s="1" t="n">
        <v>46202</v>
      </c>
      <c r="D140" t="inlineStr">
        <is>
          <t>HALLANDS LÄN</t>
        </is>
      </c>
      <c r="E140" t="inlineStr">
        <is>
          <t>FALKENBERG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46365-2022</t>
        </is>
      </c>
      <c r="B141" s="1" t="n">
        <v>44848</v>
      </c>
      <c r="C141" s="1" t="n">
        <v>46202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13595-2025</t>
        </is>
      </c>
      <c r="B142" s="1" t="n">
        <v>45736</v>
      </c>
      <c r="C142" s="1" t="n">
        <v>46202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</v>
      </c>
      <c r="C143" s="1" t="n">
        <v>46202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7956-2024</t>
        </is>
      </c>
      <c r="B144" s="1" t="n">
        <v>45350</v>
      </c>
      <c r="C144" s="1" t="n">
        <v>46202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17846-2024</t>
        </is>
      </c>
      <c r="B145" s="1" t="n">
        <v>45419</v>
      </c>
      <c r="C145" s="1" t="n">
        <v>46202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43046-2023</t>
        </is>
      </c>
      <c r="B146" s="1" t="n">
        <v>45182</v>
      </c>
      <c r="C146" s="1" t="n">
        <v>46202</v>
      </c>
      <c r="D146" t="inlineStr">
        <is>
          <t>HALLANDS LÄN</t>
        </is>
      </c>
      <c r="E146" t="inlineStr">
        <is>
          <t>FALKENBERG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35686-2023</t>
        </is>
      </c>
      <c r="B147" s="1" t="n">
        <v>45147</v>
      </c>
      <c r="C147" s="1" t="n">
        <v>46202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63034-2023</t>
        </is>
      </c>
      <c r="B148" s="1" t="n">
        <v>45272</v>
      </c>
      <c r="C148" s="1" t="n">
        <v>46202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56656-2023</t>
        </is>
      </c>
      <c r="B149" s="1" t="n">
        <v>45243</v>
      </c>
      <c r="C149" s="1" t="n">
        <v>46202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42319-2022</t>
        </is>
      </c>
      <c r="B150" s="1" t="n">
        <v>44831</v>
      </c>
      <c r="C150" s="1" t="n">
        <v>46202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35867-2024</t>
        </is>
      </c>
      <c r="B151" s="1" t="n">
        <v>45533</v>
      </c>
      <c r="C151" s="1" t="n">
        <v>46202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34598-2023</t>
        </is>
      </c>
      <c r="B152" s="1" t="n">
        <v>45138</v>
      </c>
      <c r="C152" s="1" t="n">
        <v>46202</v>
      </c>
      <c r="D152" t="inlineStr">
        <is>
          <t>HALLANDS LÄN</t>
        </is>
      </c>
      <c r="E152" t="inlineStr">
        <is>
          <t>FALKENBERG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18803-2023</t>
        </is>
      </c>
      <c r="B153" s="1" t="n">
        <v>45044</v>
      </c>
      <c r="C153" s="1" t="n">
        <v>46202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60239-2022</t>
        </is>
      </c>
      <c r="B154" s="1" t="n">
        <v>44910</v>
      </c>
      <c r="C154" s="1" t="n">
        <v>46202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40581-2024</t>
        </is>
      </c>
      <c r="B155" s="1" t="n">
        <v>45555</v>
      </c>
      <c r="C155" s="1" t="n">
        <v>46202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56451-2022</t>
        </is>
      </c>
      <c r="B156" s="1" t="n">
        <v>44893</v>
      </c>
      <c r="C156" s="1" t="n">
        <v>46202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6218-2022</t>
        </is>
      </c>
      <c r="B157" s="1" t="n">
        <v>44600</v>
      </c>
      <c r="C157" s="1" t="n">
        <v>46202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4373-2024</t>
        </is>
      </c>
      <c r="B158" s="1" t="n">
        <v>45326</v>
      </c>
      <c r="C158" s="1" t="n">
        <v>46202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46063-2024</t>
        </is>
      </c>
      <c r="B159" s="1" t="n">
        <v>45581</v>
      </c>
      <c r="C159" s="1" t="n">
        <v>46202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3735-2025</t>
        </is>
      </c>
      <c r="B160" s="1" t="n">
        <v>45681</v>
      </c>
      <c r="C160" s="1" t="n">
        <v>46202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16405-2025</t>
        </is>
      </c>
      <c r="B161" s="1" t="n">
        <v>45751</v>
      </c>
      <c r="C161" s="1" t="n">
        <v>46202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70848-2021</t>
        </is>
      </c>
      <c r="B162" s="1" t="n">
        <v>44538</v>
      </c>
      <c r="C162" s="1" t="n">
        <v>46202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3739-2025</t>
        </is>
      </c>
      <c r="B163" s="1" t="n">
        <v>45681</v>
      </c>
      <c r="C163" s="1" t="n">
        <v>46202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26880-2022</t>
        </is>
      </c>
      <c r="B164" s="1" t="n">
        <v>44740</v>
      </c>
      <c r="C164" s="1" t="n">
        <v>46202</v>
      </c>
      <c r="D164" t="inlineStr">
        <is>
          <t>HALLANDS LÄN</t>
        </is>
      </c>
      <c r="E164" t="inlineStr">
        <is>
          <t>FALKENBERG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1277-2025</t>
        </is>
      </c>
      <c r="B165" s="1" t="n">
        <v>45667</v>
      </c>
      <c r="C165" s="1" t="n">
        <v>46202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44532-2023</t>
        </is>
      </c>
      <c r="B166" s="1" t="n">
        <v>45189</v>
      </c>
      <c r="C166" s="1" t="n">
        <v>46202</v>
      </c>
      <c r="D166" t="inlineStr">
        <is>
          <t>HALLANDS LÄN</t>
        </is>
      </c>
      <c r="E166" t="inlineStr">
        <is>
          <t>FALKENBERG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14331-2022</t>
        </is>
      </c>
      <c r="B167" s="1" t="n">
        <v>44652</v>
      </c>
      <c r="C167" s="1" t="n">
        <v>46202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4441-2025</t>
        </is>
      </c>
      <c r="B168" s="1" t="n">
        <v>45686</v>
      </c>
      <c r="C168" s="1" t="n">
        <v>46202</v>
      </c>
      <c r="D168" t="inlineStr">
        <is>
          <t>HALLANDS LÄN</t>
        </is>
      </c>
      <c r="E168" t="inlineStr">
        <is>
          <t>FALKENBERG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15421-2023</t>
        </is>
      </c>
      <c r="B169" s="1" t="n">
        <v>45019</v>
      </c>
      <c r="C169" s="1" t="n">
        <v>46202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2379-2025</t>
        </is>
      </c>
      <c r="B170" s="1" t="n">
        <v>45673</v>
      </c>
      <c r="C170" s="1" t="n">
        <v>46202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</v>
      </c>
      <c r="C171" s="1" t="n">
        <v>46202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18247-2025</t>
        </is>
      </c>
      <c r="B172" s="1" t="n">
        <v>45762</v>
      </c>
      <c r="C172" s="1" t="n">
        <v>46202</v>
      </c>
      <c r="D172" t="inlineStr">
        <is>
          <t>HALLANDS LÄN</t>
        </is>
      </c>
      <c r="E172" t="inlineStr">
        <is>
          <t>FALKENBERG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14500-2025</t>
        </is>
      </c>
      <c r="B173" s="1" t="n">
        <v>45741</v>
      </c>
      <c r="C173" s="1" t="n">
        <v>46202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12803-2022</t>
        </is>
      </c>
      <c r="B174" s="1" t="n">
        <v>44642</v>
      </c>
      <c r="C174" s="1" t="n">
        <v>46202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18710-2022</t>
        </is>
      </c>
      <c r="B175" s="1" t="n">
        <v>44687</v>
      </c>
      <c r="C175" s="1" t="n">
        <v>46202</v>
      </c>
      <c r="D175" t="inlineStr">
        <is>
          <t>HALLANDS LÄN</t>
        </is>
      </c>
      <c r="E175" t="inlineStr">
        <is>
          <t>FALKENBERG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67454-2021</t>
        </is>
      </c>
      <c r="B176" s="1" t="n">
        <v>44524</v>
      </c>
      <c r="C176" s="1" t="n">
        <v>46202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3092-2025</t>
        </is>
      </c>
      <c r="B177" s="1" t="n">
        <v>45678</v>
      </c>
      <c r="C177" s="1" t="n">
        <v>46202</v>
      </c>
      <c r="D177" t="inlineStr">
        <is>
          <t>HALLANDS LÄN</t>
        </is>
      </c>
      <c r="E177" t="inlineStr">
        <is>
          <t>FALKENBERG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58072-2022</t>
        </is>
      </c>
      <c r="B178" s="1" t="n">
        <v>44900</v>
      </c>
      <c r="C178" s="1" t="n">
        <v>46202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58931-2022</t>
        </is>
      </c>
      <c r="B179" s="1" t="n">
        <v>44903</v>
      </c>
      <c r="C179" s="1" t="n">
        <v>46202</v>
      </c>
      <c r="D179" t="inlineStr">
        <is>
          <t>HALLANDS LÄN</t>
        </is>
      </c>
      <c r="E179" t="inlineStr">
        <is>
          <t>FALKENBERG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50633-2024</t>
        </is>
      </c>
      <c r="B180" s="1" t="n">
        <v>45601</v>
      </c>
      <c r="C180" s="1" t="n">
        <v>46202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4059-2024</t>
        </is>
      </c>
      <c r="B181" s="1" t="n">
        <v>45323</v>
      </c>
      <c r="C181" s="1" t="n">
        <v>46202</v>
      </c>
      <c r="D181" t="inlineStr">
        <is>
          <t>HALLANDS LÄN</t>
        </is>
      </c>
      <c r="E181" t="inlineStr">
        <is>
          <t>FALKENBERG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34163-2024</t>
        </is>
      </c>
      <c r="B182" s="1" t="n">
        <v>45524</v>
      </c>
      <c r="C182" s="1" t="n">
        <v>46202</v>
      </c>
      <c r="D182" t="inlineStr">
        <is>
          <t>HALLANDS LÄN</t>
        </is>
      </c>
      <c r="E182" t="inlineStr">
        <is>
          <t>FALKENBERG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13113-2022</t>
        </is>
      </c>
      <c r="B183" s="1" t="n">
        <v>44644</v>
      </c>
      <c r="C183" s="1" t="n">
        <v>46202</v>
      </c>
      <c r="D183" t="inlineStr">
        <is>
          <t>HALLANDS LÄN</t>
        </is>
      </c>
      <c r="E183" t="inlineStr">
        <is>
          <t>FALKENBERG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67744-2021</t>
        </is>
      </c>
      <c r="B184" s="1" t="n">
        <v>44525</v>
      </c>
      <c r="C184" s="1" t="n">
        <v>46202</v>
      </c>
      <c r="D184" t="inlineStr">
        <is>
          <t>HALLANDS LÄN</t>
        </is>
      </c>
      <c r="E184" t="inlineStr">
        <is>
          <t>FALKENBERG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10244-2023</t>
        </is>
      </c>
      <c r="B185" s="1" t="n">
        <v>44986</v>
      </c>
      <c r="C185" s="1" t="n">
        <v>46202</v>
      </c>
      <c r="D185" t="inlineStr">
        <is>
          <t>HALLANDS LÄN</t>
        </is>
      </c>
      <c r="E185" t="inlineStr">
        <is>
          <t>FALKENBERG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39716-2024</t>
        </is>
      </c>
      <c r="B186" s="1" t="n">
        <v>45552</v>
      </c>
      <c r="C186" s="1" t="n">
        <v>46202</v>
      </c>
      <c r="D186" t="inlineStr">
        <is>
          <t>HALLANDS LÄN</t>
        </is>
      </c>
      <c r="E186" t="inlineStr">
        <is>
          <t>FALKENBERG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9270-2025</t>
        </is>
      </c>
      <c r="B187" s="1" t="n">
        <v>45714</v>
      </c>
      <c r="C187" s="1" t="n">
        <v>46202</v>
      </c>
      <c r="D187" t="inlineStr">
        <is>
          <t>HALLANDS LÄN</t>
        </is>
      </c>
      <c r="E187" t="inlineStr">
        <is>
          <t>FALKENBERG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64404-2023</t>
        </is>
      </c>
      <c r="B188" s="1" t="n">
        <v>45280</v>
      </c>
      <c r="C188" s="1" t="n">
        <v>46202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43883-2023</t>
        </is>
      </c>
      <c r="B189" s="1" t="n">
        <v>45187</v>
      </c>
      <c r="C189" s="1" t="n">
        <v>46202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42656-2024</t>
        </is>
      </c>
      <c r="B190" s="1" t="n">
        <v>45566</v>
      </c>
      <c r="C190" s="1" t="n">
        <v>46202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13845-2024</t>
        </is>
      </c>
      <c r="B191" s="1" t="n">
        <v>45391</v>
      </c>
      <c r="C191" s="1" t="n">
        <v>46202</v>
      </c>
      <c r="D191" t="inlineStr">
        <is>
          <t>HALLANDS LÄN</t>
        </is>
      </c>
      <c r="E191" t="inlineStr">
        <is>
          <t>FALKENBERG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12606-2024</t>
        </is>
      </c>
      <c r="B192" s="1" t="n">
        <v>45381</v>
      </c>
      <c r="C192" s="1" t="n">
        <v>46202</v>
      </c>
      <c r="D192" t="inlineStr">
        <is>
          <t>HALLANDS LÄN</t>
        </is>
      </c>
      <c r="E192" t="inlineStr">
        <is>
          <t>FALKENBERG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9354-2025</t>
        </is>
      </c>
      <c r="B193" s="1" t="n">
        <v>45714</v>
      </c>
      <c r="C193" s="1" t="n">
        <v>46202</v>
      </c>
      <c r="D193" t="inlineStr">
        <is>
          <t>HALLANDS LÄN</t>
        </is>
      </c>
      <c r="E193" t="inlineStr">
        <is>
          <t>FALKENBERG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761-2024</t>
        </is>
      </c>
      <c r="B194" s="1" t="n">
        <v>45300</v>
      </c>
      <c r="C194" s="1" t="n">
        <v>46202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57621-2023</t>
        </is>
      </c>
      <c r="B195" s="1" t="n">
        <v>45246</v>
      </c>
      <c r="C195" s="1" t="n">
        <v>46202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20044-2025</t>
        </is>
      </c>
      <c r="B196" s="1" t="n">
        <v>45772</v>
      </c>
      <c r="C196" s="1" t="n">
        <v>46202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667-2024</t>
        </is>
      </c>
      <c r="B197" s="1" t="n">
        <v>45300</v>
      </c>
      <c r="C197" s="1" t="n">
        <v>46202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33250-2023</t>
        </is>
      </c>
      <c r="B198" s="1" t="n">
        <v>45127</v>
      </c>
      <c r="C198" s="1" t="n">
        <v>46202</v>
      </c>
      <c r="D198" t="inlineStr">
        <is>
          <t>HALLANDS LÄN</t>
        </is>
      </c>
      <c r="E198" t="inlineStr">
        <is>
          <t>FALKENBERG</t>
        </is>
      </c>
      <c r="F198" t="inlineStr">
        <is>
          <t>Kommuner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12470-2023</t>
        </is>
      </c>
      <c r="B199" s="1" t="n">
        <v>44999</v>
      </c>
      <c r="C199" s="1" t="n">
        <v>46202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10237-2023</t>
        </is>
      </c>
      <c r="B200" s="1" t="n">
        <v>44986</v>
      </c>
      <c r="C200" s="1" t="n">
        <v>46202</v>
      </c>
      <c r="D200" t="inlineStr">
        <is>
          <t>HALLANDS LÄN</t>
        </is>
      </c>
      <c r="E200" t="inlineStr">
        <is>
          <t>FALKENBERG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11574-2022</t>
        </is>
      </c>
      <c r="B201" s="1" t="n">
        <v>44631</v>
      </c>
      <c r="C201" s="1" t="n">
        <v>46202</v>
      </c>
      <c r="D201" t="inlineStr">
        <is>
          <t>HALLANDS LÄN</t>
        </is>
      </c>
      <c r="E201" t="inlineStr">
        <is>
          <t>FALKENBERG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3291-2022</t>
        </is>
      </c>
      <c r="B202" s="1" t="n">
        <v>44584</v>
      </c>
      <c r="C202" s="1" t="n">
        <v>46202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38905-2023</t>
        </is>
      </c>
      <c r="B203" s="1" t="n">
        <v>45163</v>
      </c>
      <c r="C203" s="1" t="n">
        <v>46202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7874-2024</t>
        </is>
      </c>
      <c r="B204" s="1" t="n">
        <v>45350</v>
      </c>
      <c r="C204" s="1" t="n">
        <v>46202</v>
      </c>
      <c r="D204" t="inlineStr">
        <is>
          <t>HALLANDS LÄN</t>
        </is>
      </c>
      <c r="E204" t="inlineStr">
        <is>
          <t>FALKENBERG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45829-2023</t>
        </is>
      </c>
      <c r="B205" s="1" t="n">
        <v>45195</v>
      </c>
      <c r="C205" s="1" t="n">
        <v>46202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46924-2023</t>
        </is>
      </c>
      <c r="B206" s="1" t="n">
        <v>45201</v>
      </c>
      <c r="C206" s="1" t="n">
        <v>46202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12924-2023</t>
        </is>
      </c>
      <c r="B207" s="1" t="n">
        <v>45001</v>
      </c>
      <c r="C207" s="1" t="n">
        <v>46202</v>
      </c>
      <c r="D207" t="inlineStr">
        <is>
          <t>HALLANDS LÄN</t>
        </is>
      </c>
      <c r="E207" t="inlineStr">
        <is>
          <t>FALKENBERG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72277-2021</t>
        </is>
      </c>
      <c r="B208" s="1" t="n">
        <v>44545</v>
      </c>
      <c r="C208" s="1" t="n">
        <v>46202</v>
      </c>
      <c r="D208" t="inlineStr">
        <is>
          <t>HALLANDS LÄN</t>
        </is>
      </c>
      <c r="E208" t="inlineStr">
        <is>
          <t>FALKENBERG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3167-2023</t>
        </is>
      </c>
      <c r="B209" s="1" t="n">
        <v>44946</v>
      </c>
      <c r="C209" s="1" t="n">
        <v>46202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</v>
      </c>
      <c r="C210" s="1" t="n">
        <v>46202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21915-2023</t>
        </is>
      </c>
      <c r="B211" s="1" t="n">
        <v>45068</v>
      </c>
      <c r="C211" s="1" t="n">
        <v>46202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6623-2025</t>
        </is>
      </c>
      <c r="B212" s="1" t="n">
        <v>45700</v>
      </c>
      <c r="C212" s="1" t="n">
        <v>46202</v>
      </c>
      <c r="D212" t="inlineStr">
        <is>
          <t>HALLANDS LÄN</t>
        </is>
      </c>
      <c r="E212" t="inlineStr">
        <is>
          <t>FALKENBERG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3171-2023</t>
        </is>
      </c>
      <c r="B213" s="1" t="n">
        <v>44946</v>
      </c>
      <c r="C213" s="1" t="n">
        <v>46202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3175-2023</t>
        </is>
      </c>
      <c r="B214" s="1" t="n">
        <v>44946</v>
      </c>
      <c r="C214" s="1" t="n">
        <v>46202</v>
      </c>
      <c r="D214" t="inlineStr">
        <is>
          <t>HALLANDS LÄN</t>
        </is>
      </c>
      <c r="E214" t="inlineStr">
        <is>
          <t>FALKENBERG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38462-2024</t>
        </is>
      </c>
      <c r="B215" s="1" t="n">
        <v>45546</v>
      </c>
      <c r="C215" s="1" t="n">
        <v>46202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44133-2023</t>
        </is>
      </c>
      <c r="B216" s="1" t="n">
        <v>45188</v>
      </c>
      <c r="C216" s="1" t="n">
        <v>46202</v>
      </c>
      <c r="D216" t="inlineStr">
        <is>
          <t>HALLANDS LÄN</t>
        </is>
      </c>
      <c r="E216" t="inlineStr">
        <is>
          <t>FALKENBERG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53400-2023</t>
        </is>
      </c>
      <c r="B217" s="1" t="n">
        <v>45229</v>
      </c>
      <c r="C217" s="1" t="n">
        <v>46202</v>
      </c>
      <c r="D217" t="inlineStr">
        <is>
          <t>HALLANDS LÄN</t>
        </is>
      </c>
      <c r="E217" t="inlineStr">
        <is>
          <t>FALKENBERG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7696-2024</t>
        </is>
      </c>
      <c r="B218" s="1" t="n">
        <v>45349</v>
      </c>
      <c r="C218" s="1" t="n">
        <v>46202</v>
      </c>
      <c r="D218" t="inlineStr">
        <is>
          <t>HALLANDS LÄN</t>
        </is>
      </c>
      <c r="E218" t="inlineStr">
        <is>
          <t>FALKENBERG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41233-2023</t>
        </is>
      </c>
      <c r="B219" s="1" t="n">
        <v>45174</v>
      </c>
      <c r="C219" s="1" t="n">
        <v>46202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56260-2024</t>
        </is>
      </c>
      <c r="B220" s="1" t="n">
        <v>45624</v>
      </c>
      <c r="C220" s="1" t="n">
        <v>46202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15427-2024</t>
        </is>
      </c>
      <c r="B221" s="1" t="n">
        <v>45401</v>
      </c>
      <c r="C221" s="1" t="n">
        <v>46202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20543-2023</t>
        </is>
      </c>
      <c r="B222" s="1" t="n">
        <v>45055</v>
      </c>
      <c r="C222" s="1" t="n">
        <v>46202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20546-2023</t>
        </is>
      </c>
      <c r="B223" s="1" t="n">
        <v>45055</v>
      </c>
      <c r="C223" s="1" t="n">
        <v>46202</v>
      </c>
      <c r="D223" t="inlineStr">
        <is>
          <t>HALLANDS LÄN</t>
        </is>
      </c>
      <c r="E223" t="inlineStr">
        <is>
          <t>FALKENBERG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64836-2023</t>
        </is>
      </c>
      <c r="B224" s="1" t="n">
        <v>45282</v>
      </c>
      <c r="C224" s="1" t="n">
        <v>46202</v>
      </c>
      <c r="D224" t="inlineStr">
        <is>
          <t>HALLANDS LÄN</t>
        </is>
      </c>
      <c r="E224" t="inlineStr">
        <is>
          <t>FALKENBERG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34969-2023</t>
        </is>
      </c>
      <c r="B225" s="1" t="n">
        <v>45142</v>
      </c>
      <c r="C225" s="1" t="n">
        <v>46202</v>
      </c>
      <c r="D225" t="inlineStr">
        <is>
          <t>HALLANDS LÄN</t>
        </is>
      </c>
      <c r="E225" t="inlineStr">
        <is>
          <t>FALKENBERG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17336-2023</t>
        </is>
      </c>
      <c r="B226" s="1" t="n">
        <v>45035</v>
      </c>
      <c r="C226" s="1" t="n">
        <v>46202</v>
      </c>
      <c r="D226" t="inlineStr">
        <is>
          <t>HALLANDS LÄN</t>
        </is>
      </c>
      <c r="E226" t="inlineStr">
        <is>
          <t>FALKENBERG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1849-2023</t>
        </is>
      </c>
      <c r="B227" s="1" t="n">
        <v>44938</v>
      </c>
      <c r="C227" s="1" t="n">
        <v>46202</v>
      </c>
      <c r="D227" t="inlineStr">
        <is>
          <t>HALLANDS LÄN</t>
        </is>
      </c>
      <c r="E227" t="inlineStr">
        <is>
          <t>FALKENBERG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5064-2025</t>
        </is>
      </c>
      <c r="B228" s="1" t="n">
        <v>45691</v>
      </c>
      <c r="C228" s="1" t="n">
        <v>46202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14753-2022</t>
        </is>
      </c>
      <c r="B229" s="1" t="n">
        <v>44656</v>
      </c>
      <c r="C229" s="1" t="n">
        <v>46202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15858-2022</t>
        </is>
      </c>
      <c r="B230" s="1" t="n">
        <v>44664</v>
      </c>
      <c r="C230" s="1" t="n">
        <v>46202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3743-2025</t>
        </is>
      </c>
      <c r="B231" s="1" t="n">
        <v>45681</v>
      </c>
      <c r="C231" s="1" t="n">
        <v>46202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32402-2023</t>
        </is>
      </c>
      <c r="B232" s="1" t="n">
        <v>45120</v>
      </c>
      <c r="C232" s="1" t="n">
        <v>46202</v>
      </c>
      <c r="D232" t="inlineStr">
        <is>
          <t>HALLANDS LÄN</t>
        </is>
      </c>
      <c r="E232" t="inlineStr">
        <is>
          <t>FALKENBERG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7004-2024</t>
        </is>
      </c>
      <c r="B233" s="1" t="n">
        <v>45343</v>
      </c>
      <c r="C233" s="1" t="n">
        <v>46202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21430-2024</t>
        </is>
      </c>
      <c r="B234" s="1" t="n">
        <v>45441</v>
      </c>
      <c r="C234" s="1" t="n">
        <v>46202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63310-2023</t>
        </is>
      </c>
      <c r="B235" s="1" t="n">
        <v>45274</v>
      </c>
      <c r="C235" s="1" t="n">
        <v>46202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55257-2022</t>
        </is>
      </c>
      <c r="B236" s="1" t="n">
        <v>44882</v>
      </c>
      <c r="C236" s="1" t="n">
        <v>46202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26310-2023</t>
        </is>
      </c>
      <c r="B237" s="1" t="n">
        <v>45091</v>
      </c>
      <c r="C237" s="1" t="n">
        <v>46202</v>
      </c>
      <c r="D237" t="inlineStr">
        <is>
          <t>HALLANDS LÄN</t>
        </is>
      </c>
      <c r="E237" t="inlineStr">
        <is>
          <t>FALKENBERG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8350-2023</t>
        </is>
      </c>
      <c r="B238" s="1" t="n">
        <v>44977</v>
      </c>
      <c r="C238" s="1" t="n">
        <v>46202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20358-2024</t>
        </is>
      </c>
      <c r="B239" s="1" t="n">
        <v>45435</v>
      </c>
      <c r="C239" s="1" t="n">
        <v>46202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1223-2025</t>
        </is>
      </c>
      <c r="B240" s="1" t="n">
        <v>45667</v>
      </c>
      <c r="C240" s="1" t="n">
        <v>46202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15492-2024</t>
        </is>
      </c>
      <c r="B241" s="1" t="n">
        <v>45401</v>
      </c>
      <c r="C241" s="1" t="n">
        <v>46202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33247-2023</t>
        </is>
      </c>
      <c r="B242" s="1" t="n">
        <v>45127</v>
      </c>
      <c r="C242" s="1" t="n">
        <v>46202</v>
      </c>
      <c r="D242" t="inlineStr">
        <is>
          <t>HALLANDS LÄN</t>
        </is>
      </c>
      <c r="E242" t="inlineStr">
        <is>
          <t>FALKENBERG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20348-2024</t>
        </is>
      </c>
      <c r="B243" s="1" t="n">
        <v>45435</v>
      </c>
      <c r="C243" s="1" t="n">
        <v>46202</v>
      </c>
      <c r="D243" t="inlineStr">
        <is>
          <t>HALLANDS LÄN</t>
        </is>
      </c>
      <c r="E243" t="inlineStr">
        <is>
          <t>FALKENBERG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45914-2022</t>
        </is>
      </c>
      <c r="B244" s="1" t="n">
        <v>44846</v>
      </c>
      <c r="C244" s="1" t="n">
        <v>46202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529-2025</t>
        </is>
      </c>
      <c r="B245" s="1" t="n">
        <v>45664</v>
      </c>
      <c r="C245" s="1" t="n">
        <v>46202</v>
      </c>
      <c r="D245" t="inlineStr">
        <is>
          <t>HALLANDS LÄN</t>
        </is>
      </c>
      <c r="E245" t="inlineStr">
        <is>
          <t>FALKENBERG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10249-2023</t>
        </is>
      </c>
      <c r="B246" s="1" t="n">
        <v>44986</v>
      </c>
      <c r="C246" s="1" t="n">
        <v>46202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10746-2022</t>
        </is>
      </c>
      <c r="B247" s="1" t="n">
        <v>44627</v>
      </c>
      <c r="C247" s="1" t="n">
        <v>46202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44537-2023</t>
        </is>
      </c>
      <c r="B248" s="1" t="n">
        <v>45189</v>
      </c>
      <c r="C248" s="1" t="n">
        <v>46202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47412-2023</t>
        </is>
      </c>
      <c r="B249" s="1" t="n">
        <v>45202</v>
      </c>
      <c r="C249" s="1" t="n">
        <v>46202</v>
      </c>
      <c r="D249" t="inlineStr">
        <is>
          <t>HALLANDS LÄN</t>
        </is>
      </c>
      <c r="E249" t="inlineStr">
        <is>
          <t>FALKENBERG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26312-2023</t>
        </is>
      </c>
      <c r="B250" s="1" t="n">
        <v>45091</v>
      </c>
      <c r="C250" s="1" t="n">
        <v>46202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12939-2023</t>
        </is>
      </c>
      <c r="B251" s="1" t="n">
        <v>45001</v>
      </c>
      <c r="C251" s="1" t="n">
        <v>46202</v>
      </c>
      <c r="D251" t="inlineStr">
        <is>
          <t>HALLANDS LÄN</t>
        </is>
      </c>
      <c r="E251" t="inlineStr">
        <is>
          <t>FALKENBERG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49286-2024</t>
        </is>
      </c>
      <c r="B252" s="1" t="n">
        <v>45595</v>
      </c>
      <c r="C252" s="1" t="n">
        <v>46202</v>
      </c>
      <c r="D252" t="inlineStr">
        <is>
          <t>HALLANDS LÄN</t>
        </is>
      </c>
      <c r="E252" t="inlineStr">
        <is>
          <t>FALKENBERG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60472-2024</t>
        </is>
      </c>
      <c r="B253" s="1" t="n">
        <v>45643</v>
      </c>
      <c r="C253" s="1" t="n">
        <v>46202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16406-2025</t>
        </is>
      </c>
      <c r="B254" s="1" t="n">
        <v>45751</v>
      </c>
      <c r="C254" s="1" t="n">
        <v>46202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43045-2023</t>
        </is>
      </c>
      <c r="B255" s="1" t="n">
        <v>45182</v>
      </c>
      <c r="C255" s="1" t="n">
        <v>46202</v>
      </c>
      <c r="D255" t="inlineStr">
        <is>
          <t>HALLANDS LÄN</t>
        </is>
      </c>
      <c r="E255" t="inlineStr">
        <is>
          <t>FALKENBERG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7291-2023</t>
        </is>
      </c>
      <c r="B256" s="1" t="n">
        <v>44970</v>
      </c>
      <c r="C256" s="1" t="n">
        <v>46202</v>
      </c>
      <c r="D256" t="inlineStr">
        <is>
          <t>HALLANDS LÄN</t>
        </is>
      </c>
      <c r="E256" t="inlineStr">
        <is>
          <t>FALKENBERG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18813-2023</t>
        </is>
      </c>
      <c r="B257" s="1" t="n">
        <v>45044</v>
      </c>
      <c r="C257" s="1" t="n">
        <v>46202</v>
      </c>
      <c r="D257" t="inlineStr">
        <is>
          <t>HALLANDS LÄN</t>
        </is>
      </c>
      <c r="E257" t="inlineStr">
        <is>
          <t>FALKENBERG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44960-2024</t>
        </is>
      </c>
      <c r="B258" s="1" t="n">
        <v>45575</v>
      </c>
      <c r="C258" s="1" t="n">
        <v>46202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4892-2024</t>
        </is>
      </c>
      <c r="B259" s="1" t="n">
        <v>45329</v>
      </c>
      <c r="C259" s="1" t="n">
        <v>46202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4326-2024</t>
        </is>
      </c>
      <c r="B260" s="1" t="n">
        <v>45324</v>
      </c>
      <c r="C260" s="1" t="n">
        <v>46202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5795-2023</t>
        </is>
      </c>
      <c r="B261" s="1" t="n">
        <v>44963</v>
      </c>
      <c r="C261" s="1" t="n">
        <v>46202</v>
      </c>
      <c r="D261" t="inlineStr">
        <is>
          <t>HALLANDS LÄN</t>
        </is>
      </c>
      <c r="E261" t="inlineStr">
        <is>
          <t>FALKENBERG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5796-2023</t>
        </is>
      </c>
      <c r="B262" s="1" t="n">
        <v>44963</v>
      </c>
      <c r="C262" s="1" t="n">
        <v>46202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39074-2024</t>
        </is>
      </c>
      <c r="B263" s="1" t="n">
        <v>45548</v>
      </c>
      <c r="C263" s="1" t="n">
        <v>46202</v>
      </c>
      <c r="D263" t="inlineStr">
        <is>
          <t>HALLANDS LÄN</t>
        </is>
      </c>
      <c r="E263" t="inlineStr">
        <is>
          <t>FALKENBERG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7314-2024</t>
        </is>
      </c>
      <c r="B264" s="1" t="n">
        <v>45345</v>
      </c>
      <c r="C264" s="1" t="n">
        <v>46202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18773-2022</t>
        </is>
      </c>
      <c r="B265" s="1" t="n">
        <v>44689</v>
      </c>
      <c r="C265" s="1" t="n">
        <v>46202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8252-2023</t>
        </is>
      </c>
      <c r="B266" s="1" t="n">
        <v>44974</v>
      </c>
      <c r="C266" s="1" t="n">
        <v>46202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4613-2024</t>
        </is>
      </c>
      <c r="B267" s="1" t="n">
        <v>45328</v>
      </c>
      <c r="C267" s="1" t="n">
        <v>46202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60245-2022</t>
        </is>
      </c>
      <c r="B268" s="1" t="n">
        <v>44910</v>
      </c>
      <c r="C268" s="1" t="n">
        <v>46202</v>
      </c>
      <c r="D268" t="inlineStr">
        <is>
          <t>HALLANDS LÄN</t>
        </is>
      </c>
      <c r="E268" t="inlineStr">
        <is>
          <t>FALKENBERG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44040-2023</t>
        </is>
      </c>
      <c r="B269" s="1" t="n">
        <v>45188</v>
      </c>
      <c r="C269" s="1" t="n">
        <v>46202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44087-2023</t>
        </is>
      </c>
      <c r="B270" s="1" t="n">
        <v>45188</v>
      </c>
      <c r="C270" s="1" t="n">
        <v>46202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9798-2023</t>
        </is>
      </c>
      <c r="B271" s="1" t="n">
        <v>44984</v>
      </c>
      <c r="C271" s="1" t="n">
        <v>46202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32003-2023</t>
        </is>
      </c>
      <c r="B272" s="1" t="n">
        <v>45119</v>
      </c>
      <c r="C272" s="1" t="n">
        <v>46202</v>
      </c>
      <c r="D272" t="inlineStr">
        <is>
          <t>HALLANDS LÄN</t>
        </is>
      </c>
      <c r="E272" t="inlineStr">
        <is>
          <t>FALKENBERG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61868-2023</t>
        </is>
      </c>
      <c r="B273" s="1" t="n">
        <v>45266</v>
      </c>
      <c r="C273" s="1" t="n">
        <v>46202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4713-2023</t>
        </is>
      </c>
      <c r="B274" s="1" t="n">
        <v>44957</v>
      </c>
      <c r="C274" s="1" t="n">
        <v>46202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25214-2024</t>
        </is>
      </c>
      <c r="B275" s="1" t="n">
        <v>45462</v>
      </c>
      <c r="C275" s="1" t="n">
        <v>46202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57493-2023</t>
        </is>
      </c>
      <c r="B276" s="1" t="n">
        <v>45246</v>
      </c>
      <c r="C276" s="1" t="n">
        <v>46202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54659-2024</t>
        </is>
      </c>
      <c r="B277" s="1" t="n">
        <v>45618</v>
      </c>
      <c r="C277" s="1" t="n">
        <v>46202</v>
      </c>
      <c r="D277" t="inlineStr">
        <is>
          <t>HALLANDS LÄN</t>
        </is>
      </c>
      <c r="E277" t="inlineStr">
        <is>
          <t>FALKENBERG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3838-2025</t>
        </is>
      </c>
      <c r="B278" s="1" t="n">
        <v>45682</v>
      </c>
      <c r="C278" s="1" t="n">
        <v>46202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3839-2025</t>
        </is>
      </c>
      <c r="B279" s="1" t="n">
        <v>45682</v>
      </c>
      <c r="C279" s="1" t="n">
        <v>46202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41610-2022</t>
        </is>
      </c>
      <c r="B280" s="1" t="n">
        <v>44827</v>
      </c>
      <c r="C280" s="1" t="n">
        <v>46202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8266-2023</t>
        </is>
      </c>
      <c r="B281" s="1" t="n">
        <v>44974</v>
      </c>
      <c r="C281" s="1" t="n">
        <v>46202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61546-2022</t>
        </is>
      </c>
      <c r="B282" s="1" t="n">
        <v>44916</v>
      </c>
      <c r="C282" s="1" t="n">
        <v>46202</v>
      </c>
      <c r="D282" t="inlineStr">
        <is>
          <t>HALLANDS LÄN</t>
        </is>
      </c>
      <c r="E282" t="inlineStr">
        <is>
          <t>FALKENBERG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27432-2024</t>
        </is>
      </c>
      <c r="B283" s="1" t="n">
        <v>45474</v>
      </c>
      <c r="C283" s="1" t="n">
        <v>46202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20353-2024</t>
        </is>
      </c>
      <c r="B284" s="1" t="n">
        <v>45435</v>
      </c>
      <c r="C284" s="1" t="n">
        <v>46202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1214-2025</t>
        </is>
      </c>
      <c r="B285" s="1" t="n">
        <v>45667</v>
      </c>
      <c r="C285" s="1" t="n">
        <v>46202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29142-2024</t>
        </is>
      </c>
      <c r="B286" s="1" t="n">
        <v>45482</v>
      </c>
      <c r="C286" s="1" t="n">
        <v>46202</v>
      </c>
      <c r="D286" t="inlineStr">
        <is>
          <t>HALLANDS LÄN</t>
        </is>
      </c>
      <c r="E286" t="inlineStr">
        <is>
          <t>FALKENBERG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10252-2023</t>
        </is>
      </c>
      <c r="B287" s="1" t="n">
        <v>44986</v>
      </c>
      <c r="C287" s="1" t="n">
        <v>46202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52852-2023</t>
        </is>
      </c>
      <c r="B288" s="1" t="n">
        <v>45226</v>
      </c>
      <c r="C288" s="1" t="n">
        <v>46202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39573-2024</t>
        </is>
      </c>
      <c r="B289" s="1" t="n">
        <v>45552</v>
      </c>
      <c r="C289" s="1" t="n">
        <v>46202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12074-2024</t>
        </is>
      </c>
      <c r="B290" s="1" t="n">
        <v>45377</v>
      </c>
      <c r="C290" s="1" t="n">
        <v>46202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45838-2024</t>
        </is>
      </c>
      <c r="B291" s="1" t="n">
        <v>45580</v>
      </c>
      <c r="C291" s="1" t="n">
        <v>46202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3052-2023</t>
        </is>
      </c>
      <c r="B292" s="1" t="n">
        <v>44946</v>
      </c>
      <c r="C292" s="1" t="n">
        <v>46202</v>
      </c>
      <c r="D292" t="inlineStr">
        <is>
          <t>HALLANDS LÄN</t>
        </is>
      </c>
      <c r="E292" t="inlineStr">
        <is>
          <t>FALKENBERG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37018-2024</t>
        </is>
      </c>
      <c r="B293" s="1" t="n">
        <v>45539</v>
      </c>
      <c r="C293" s="1" t="n">
        <v>46202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20694-2023</t>
        </is>
      </c>
      <c r="B294" s="1" t="n">
        <v>45058</v>
      </c>
      <c r="C294" s="1" t="n">
        <v>46202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4714-2023</t>
        </is>
      </c>
      <c r="B295" s="1" t="n">
        <v>44957</v>
      </c>
      <c r="C295" s="1" t="n">
        <v>46202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26838-2025</t>
        </is>
      </c>
      <c r="B296" s="1" t="n">
        <v>45810</v>
      </c>
      <c r="C296" s="1" t="n">
        <v>46202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72470-2021</t>
        </is>
      </c>
      <c r="B297" s="1" t="n">
        <v>44545</v>
      </c>
      <c r="C297" s="1" t="n">
        <v>46202</v>
      </c>
      <c r="D297" t="inlineStr">
        <is>
          <t>HALLANDS LÄN</t>
        </is>
      </c>
      <c r="E297" t="inlineStr">
        <is>
          <t>FALKENBERG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6783-2024</t>
        </is>
      </c>
      <c r="B298" s="1" t="n">
        <v>45342</v>
      </c>
      <c r="C298" s="1" t="n">
        <v>46202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9355-2025</t>
        </is>
      </c>
      <c r="B299" s="1" t="n">
        <v>45714</v>
      </c>
      <c r="C299" s="1" t="n">
        <v>46202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10055-2025</t>
        </is>
      </c>
      <c r="B300" s="1" t="n">
        <v>45719</v>
      </c>
      <c r="C300" s="1" t="n">
        <v>46202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49126-2021</t>
        </is>
      </c>
      <c r="B301" s="1" t="n">
        <v>44453</v>
      </c>
      <c r="C301" s="1" t="n">
        <v>46202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71844-2021</t>
        </is>
      </c>
      <c r="B302" s="1" t="n">
        <v>44543</v>
      </c>
      <c r="C302" s="1" t="n">
        <v>46202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24699-2023</t>
        </is>
      </c>
      <c r="B303" s="1" t="n">
        <v>45084</v>
      </c>
      <c r="C303" s="1" t="n">
        <v>46202</v>
      </c>
      <c r="D303" t="inlineStr">
        <is>
          <t>HALLANDS LÄN</t>
        </is>
      </c>
      <c r="E303" t="inlineStr">
        <is>
          <t>FALKENBERG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25852-2024</t>
        </is>
      </c>
      <c r="B304" s="1" t="n">
        <v>45467</v>
      </c>
      <c r="C304" s="1" t="n">
        <v>46202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8827-2025</t>
        </is>
      </c>
      <c r="B305" s="1" t="n">
        <v>45712</v>
      </c>
      <c r="C305" s="1" t="n">
        <v>46202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3282-2025</t>
        </is>
      </c>
      <c r="B306" s="1" t="n">
        <v>45679</v>
      </c>
      <c r="C306" s="1" t="n">
        <v>46202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57523-2024</t>
        </is>
      </c>
      <c r="B307" s="1" t="n">
        <v>45630</v>
      </c>
      <c r="C307" s="1" t="n">
        <v>46202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53772-2024</t>
        </is>
      </c>
      <c r="B308" s="1" t="n">
        <v>45615</v>
      </c>
      <c r="C308" s="1" t="n">
        <v>46202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54700-2024</t>
        </is>
      </c>
      <c r="B309" s="1" t="n">
        <v>45618</v>
      </c>
      <c r="C309" s="1" t="n">
        <v>46202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46202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</v>
      </c>
      <c r="C311" s="1" t="n">
        <v>46202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38715-2024</t>
        </is>
      </c>
      <c r="B312" s="1" t="n">
        <v>45547</v>
      </c>
      <c r="C312" s="1" t="n">
        <v>46202</v>
      </c>
      <c r="D312" t="inlineStr">
        <is>
          <t>HALLANDS LÄN</t>
        </is>
      </c>
      <c r="E312" t="inlineStr">
        <is>
          <t>FALKENBERG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1848-2023</t>
        </is>
      </c>
      <c r="B313" s="1" t="n">
        <v>44938</v>
      </c>
      <c r="C313" s="1" t="n">
        <v>46202</v>
      </c>
      <c r="D313" t="inlineStr">
        <is>
          <t>HALLANDS LÄN</t>
        </is>
      </c>
      <c r="E313" t="inlineStr">
        <is>
          <t>FALKENBERG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29129-2025</t>
        </is>
      </c>
      <c r="B314" s="1" t="n">
        <v>45821</v>
      </c>
      <c r="C314" s="1" t="n">
        <v>46202</v>
      </c>
      <c r="D314" t="inlineStr">
        <is>
          <t>HALLANDS LÄN</t>
        </is>
      </c>
      <c r="E314" t="inlineStr">
        <is>
          <t>FALKENBERG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</v>
      </c>
      <c r="C315" s="1" t="n">
        <v>46202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43897-2023</t>
        </is>
      </c>
      <c r="B316" s="1" t="n">
        <v>45187</v>
      </c>
      <c r="C316" s="1" t="n">
        <v>46202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23455-2023</t>
        </is>
      </c>
      <c r="B317" s="1" t="n">
        <v>45076</v>
      </c>
      <c r="C317" s="1" t="n">
        <v>46202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66135-2021</t>
        </is>
      </c>
      <c r="B318" s="1" t="n">
        <v>44517</v>
      </c>
      <c r="C318" s="1" t="n">
        <v>46202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17373-2024</t>
        </is>
      </c>
      <c r="B319" s="1" t="n">
        <v>45414</v>
      </c>
      <c r="C319" s="1" t="n">
        <v>46202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33490-2023</t>
        </is>
      </c>
      <c r="B320" s="1" t="n">
        <v>45131</v>
      </c>
      <c r="C320" s="1" t="n">
        <v>46202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29201-2023</t>
        </is>
      </c>
      <c r="B321" s="1" t="n">
        <v>45105</v>
      </c>
      <c r="C321" s="1" t="n">
        <v>46202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47021-2022</t>
        </is>
      </c>
      <c r="B322" s="1" t="n">
        <v>44852</v>
      </c>
      <c r="C322" s="1" t="n">
        <v>46202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36980-2022</t>
        </is>
      </c>
      <c r="B323" s="1" t="n">
        <v>44806</v>
      </c>
      <c r="C323" s="1" t="n">
        <v>46202</v>
      </c>
      <c r="D323" t="inlineStr">
        <is>
          <t>HALLANDS LÄN</t>
        </is>
      </c>
      <c r="E323" t="inlineStr">
        <is>
          <t>FALKENBERG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49609-2023</t>
        </is>
      </c>
      <c r="B324" s="1" t="n">
        <v>45211</v>
      </c>
      <c r="C324" s="1" t="n">
        <v>46202</v>
      </c>
      <c r="D324" t="inlineStr">
        <is>
          <t>HALLANDS LÄN</t>
        </is>
      </c>
      <c r="E324" t="inlineStr">
        <is>
          <t>FALKENBERG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33484-2023</t>
        </is>
      </c>
      <c r="B325" s="1" t="n">
        <v>45131</v>
      </c>
      <c r="C325" s="1" t="n">
        <v>46202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8908-2024</t>
        </is>
      </c>
      <c r="B326" s="1" t="n">
        <v>45357</v>
      </c>
      <c r="C326" s="1" t="n">
        <v>46202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10748-2022</t>
        </is>
      </c>
      <c r="B327" s="1" t="n">
        <v>44627</v>
      </c>
      <c r="C327" s="1" t="n">
        <v>46202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8900-2024</t>
        </is>
      </c>
      <c r="B328" s="1" t="n">
        <v>45357</v>
      </c>
      <c r="C328" s="1" t="n">
        <v>46202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52783-2023</t>
        </is>
      </c>
      <c r="B329" s="1" t="n">
        <v>45226</v>
      </c>
      <c r="C329" s="1" t="n">
        <v>46202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17745-2023</t>
        </is>
      </c>
      <c r="B330" s="1" t="n">
        <v>45037</v>
      </c>
      <c r="C330" s="1" t="n">
        <v>46202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10268-2022</t>
        </is>
      </c>
      <c r="B331" s="1" t="n">
        <v>44622</v>
      </c>
      <c r="C331" s="1" t="n">
        <v>46202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10270-2022</t>
        </is>
      </c>
      <c r="B332" s="1" t="n">
        <v>44622</v>
      </c>
      <c r="C332" s="1" t="n">
        <v>46202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7877-2024</t>
        </is>
      </c>
      <c r="B333" s="1" t="n">
        <v>45350</v>
      </c>
      <c r="C333" s="1" t="n">
        <v>46202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40154-2024</t>
        </is>
      </c>
      <c r="B334" s="1" t="n">
        <v>45554</v>
      </c>
      <c r="C334" s="1" t="n">
        <v>46202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58508-2024</t>
        </is>
      </c>
      <c r="B335" s="1" t="n">
        <v>45635</v>
      </c>
      <c r="C335" s="1" t="n">
        <v>46202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8262-2023</t>
        </is>
      </c>
      <c r="B336" s="1" t="n">
        <v>44974</v>
      </c>
      <c r="C336" s="1" t="n">
        <v>46202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31682-2025</t>
        </is>
      </c>
      <c r="B337" s="1" t="n">
        <v>45834</v>
      </c>
      <c r="C337" s="1" t="n">
        <v>46202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31684-2025</t>
        </is>
      </c>
      <c r="B338" s="1" t="n">
        <v>45834</v>
      </c>
      <c r="C338" s="1" t="n">
        <v>46202</v>
      </c>
      <c r="D338" t="inlineStr">
        <is>
          <t>HALLANDS LÄN</t>
        </is>
      </c>
      <c r="E338" t="inlineStr">
        <is>
          <t>FALKENBERG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42661-2024</t>
        </is>
      </c>
      <c r="B339" s="1" t="n">
        <v>45566</v>
      </c>
      <c r="C339" s="1" t="n">
        <v>46202</v>
      </c>
      <c r="D339" t="inlineStr">
        <is>
          <t>HALLANDS LÄN</t>
        </is>
      </c>
      <c r="E339" t="inlineStr">
        <is>
          <t>FALKENBERG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12076-2024</t>
        </is>
      </c>
      <c r="B340" s="1" t="n">
        <v>45377</v>
      </c>
      <c r="C340" s="1" t="n">
        <v>46202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6036-2023</t>
        </is>
      </c>
      <c r="B341" s="1" t="n">
        <v>44964</v>
      </c>
      <c r="C341" s="1" t="n">
        <v>46202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46202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31690-2025</t>
        </is>
      </c>
      <c r="B343" s="1" t="n">
        <v>45834</v>
      </c>
      <c r="C343" s="1" t="n">
        <v>46202</v>
      </c>
      <c r="D343" t="inlineStr">
        <is>
          <t>HALLANDS LÄN</t>
        </is>
      </c>
      <c r="E343" t="inlineStr">
        <is>
          <t>FALKENBERG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15339-2024</t>
        </is>
      </c>
      <c r="B344" s="1" t="n">
        <v>45400</v>
      </c>
      <c r="C344" s="1" t="n">
        <v>46202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8516-2024</t>
        </is>
      </c>
      <c r="B345" s="1" t="n">
        <v>45355</v>
      </c>
      <c r="C345" s="1" t="n">
        <v>46202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54125-2024</t>
        </is>
      </c>
      <c r="B346" s="1" t="n">
        <v>45616</v>
      </c>
      <c r="C346" s="1" t="n">
        <v>46202</v>
      </c>
      <c r="D346" t="inlineStr">
        <is>
          <t>HALLANDS LÄN</t>
        </is>
      </c>
      <c r="E346" t="inlineStr">
        <is>
          <t>FALKENBERG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32336-2025</t>
        </is>
      </c>
      <c r="B347" s="1" t="n">
        <v>45836</v>
      </c>
      <c r="C347" s="1" t="n">
        <v>46202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20349-2024</t>
        </is>
      </c>
      <c r="B348" s="1" t="n">
        <v>45435</v>
      </c>
      <c r="C348" s="1" t="n">
        <v>46202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32398-2025</t>
        </is>
      </c>
      <c r="B349" s="1" t="n">
        <v>45838</v>
      </c>
      <c r="C349" s="1" t="n">
        <v>46202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32519-2025</t>
        </is>
      </c>
      <c r="B350" s="1" t="n">
        <v>45838</v>
      </c>
      <c r="C350" s="1" t="n">
        <v>46202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</v>
      </c>
      <c r="C351" s="1" t="n">
        <v>46202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</v>
      </c>
      <c r="C352" s="1" t="n">
        <v>46202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32399-2025</t>
        </is>
      </c>
      <c r="B353" s="1" t="n">
        <v>45838</v>
      </c>
      <c r="C353" s="1" t="n">
        <v>46202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61155-2024</t>
        </is>
      </c>
      <c r="B354" s="1" t="n">
        <v>45644</v>
      </c>
      <c r="C354" s="1" t="n">
        <v>46202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34010-2021</t>
        </is>
      </c>
      <c r="B355" s="1" t="n">
        <v>44379</v>
      </c>
      <c r="C355" s="1" t="n">
        <v>46202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54698-2024</t>
        </is>
      </c>
      <c r="B356" s="1" t="n">
        <v>45618</v>
      </c>
      <c r="C356" s="1" t="n">
        <v>46202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31568-2023</t>
        </is>
      </c>
      <c r="B357" s="1" t="n">
        <v>45117</v>
      </c>
      <c r="C357" s="1" t="n">
        <v>46202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34246-2025</t>
        </is>
      </c>
      <c r="B358" s="1" t="n">
        <v>45845</v>
      </c>
      <c r="C358" s="1" t="n">
        <v>46202</v>
      </c>
      <c r="D358" t="inlineStr">
        <is>
          <t>HALLANDS LÄN</t>
        </is>
      </c>
      <c r="E358" t="inlineStr">
        <is>
          <t>FALKENBERG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55876-2023</t>
        </is>
      </c>
      <c r="B359" s="1" t="n">
        <v>45239</v>
      </c>
      <c r="C359" s="1" t="n">
        <v>46202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734-2024</t>
        </is>
      </c>
      <c r="B360" s="1" t="n">
        <v>45300</v>
      </c>
      <c r="C360" s="1" t="n">
        <v>46202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24122-2024</t>
        </is>
      </c>
      <c r="B361" s="1" t="n">
        <v>45456</v>
      </c>
      <c r="C361" s="1" t="n">
        <v>46202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51398-2023</t>
        </is>
      </c>
      <c r="B362" s="1" t="n">
        <v>45219</v>
      </c>
      <c r="C362" s="1" t="n">
        <v>46202</v>
      </c>
      <c r="D362" t="inlineStr">
        <is>
          <t>HALLANDS LÄN</t>
        </is>
      </c>
      <c r="E362" t="inlineStr">
        <is>
          <t>FALKENBERG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18270-2025</t>
        </is>
      </c>
      <c r="B363" s="1" t="n">
        <v>45762</v>
      </c>
      <c r="C363" s="1" t="n">
        <v>46202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57020-2023</t>
        </is>
      </c>
      <c r="B364" s="1" t="n">
        <v>45244</v>
      </c>
      <c r="C364" s="1" t="n">
        <v>46202</v>
      </c>
      <c r="D364" t="inlineStr">
        <is>
          <t>HALLANDS LÄN</t>
        </is>
      </c>
      <c r="E364" t="inlineStr">
        <is>
          <t>FALKENBERG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9807-2023</t>
        </is>
      </c>
      <c r="B365" s="1" t="n">
        <v>44984</v>
      </c>
      <c r="C365" s="1" t="n">
        <v>46202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44090-2023</t>
        </is>
      </c>
      <c r="B366" s="1" t="n">
        <v>45188</v>
      </c>
      <c r="C366" s="1" t="n">
        <v>46202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19312-2022</t>
        </is>
      </c>
      <c r="B367" s="1" t="n">
        <v>44692</v>
      </c>
      <c r="C367" s="1" t="n">
        <v>46202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1294-2025</t>
        </is>
      </c>
      <c r="B368" s="1" t="n">
        <v>45667</v>
      </c>
      <c r="C368" s="1" t="n">
        <v>46202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37150-2022</t>
        </is>
      </c>
      <c r="B369" s="1" t="n">
        <v>44806</v>
      </c>
      <c r="C369" s="1" t="n">
        <v>46202</v>
      </c>
      <c r="D369" t="inlineStr">
        <is>
          <t>HALLANDS LÄN</t>
        </is>
      </c>
      <c r="E369" t="inlineStr">
        <is>
          <t>FALKENBERG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7516-2025</t>
        </is>
      </c>
      <c r="B370" s="1" t="n">
        <v>45705</v>
      </c>
      <c r="C370" s="1" t="n">
        <v>46202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49760-2023</t>
        </is>
      </c>
      <c r="B371" s="1" t="n">
        <v>45212</v>
      </c>
      <c r="C371" s="1" t="n">
        <v>46202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49764-2023</t>
        </is>
      </c>
      <c r="B372" s="1" t="n">
        <v>45212</v>
      </c>
      <c r="C372" s="1" t="n">
        <v>46202</v>
      </c>
      <c r="D372" t="inlineStr">
        <is>
          <t>HALLANDS LÄN</t>
        </is>
      </c>
      <c r="E372" t="inlineStr">
        <is>
          <t>FALKENBERG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57660-2022</t>
        </is>
      </c>
      <c r="B373" s="1" t="n">
        <v>44897</v>
      </c>
      <c r="C373" s="1" t="n">
        <v>46202</v>
      </c>
      <c r="D373" t="inlineStr">
        <is>
          <t>HALLANDS LÄN</t>
        </is>
      </c>
      <c r="E373" t="inlineStr">
        <is>
          <t>FALKENBERG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61889-2023</t>
        </is>
      </c>
      <c r="B374" s="1" t="n">
        <v>45266</v>
      </c>
      <c r="C374" s="1" t="n">
        <v>46202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3178-2023</t>
        </is>
      </c>
      <c r="B375" s="1" t="n">
        <v>44946</v>
      </c>
      <c r="C375" s="1" t="n">
        <v>46202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34800-2025</t>
        </is>
      </c>
      <c r="B376" s="1" t="n">
        <v>45848</v>
      </c>
      <c r="C376" s="1" t="n">
        <v>46202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21037-2024</t>
        </is>
      </c>
      <c r="B377" s="1" t="n">
        <v>45439</v>
      </c>
      <c r="C377" s="1" t="n">
        <v>46202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2668-2025</t>
        </is>
      </c>
      <c r="B378" s="1" t="n">
        <v>45677</v>
      </c>
      <c r="C378" s="1" t="n">
        <v>46202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18732-2024</t>
        </is>
      </c>
      <c r="B379" s="1" t="n">
        <v>45426</v>
      </c>
      <c r="C379" s="1" t="n">
        <v>46202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41425-2023</t>
        </is>
      </c>
      <c r="B380" s="1" t="n">
        <v>45175</v>
      </c>
      <c r="C380" s="1" t="n">
        <v>46202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41242-2023</t>
        </is>
      </c>
      <c r="B381" s="1" t="n">
        <v>45174</v>
      </c>
      <c r="C381" s="1" t="n">
        <v>46202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41244-2023</t>
        </is>
      </c>
      <c r="B382" s="1" t="n">
        <v>45174</v>
      </c>
      <c r="C382" s="1" t="n">
        <v>46202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41238-2023</t>
        </is>
      </c>
      <c r="B383" s="1" t="n">
        <v>45174</v>
      </c>
      <c r="C383" s="1" t="n">
        <v>46202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4062-2024</t>
        </is>
      </c>
      <c r="B384" s="1" t="n">
        <v>45323</v>
      </c>
      <c r="C384" s="1" t="n">
        <v>46202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4609-2024</t>
        </is>
      </c>
      <c r="B385" s="1" t="n">
        <v>45328</v>
      </c>
      <c r="C385" s="1" t="n">
        <v>46202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8349-2022</t>
        </is>
      </c>
      <c r="B386" s="1" t="n">
        <v>44610</v>
      </c>
      <c r="C386" s="1" t="n">
        <v>46202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16194-2025</t>
        </is>
      </c>
      <c r="B387" s="1" t="n">
        <v>45750</v>
      </c>
      <c r="C387" s="1" t="n">
        <v>46202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35829-2025</t>
        </is>
      </c>
      <c r="B388" s="1" t="n">
        <v>45861</v>
      </c>
      <c r="C388" s="1" t="n">
        <v>46202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8058-2024</t>
        </is>
      </c>
      <c r="B389" s="1" t="n">
        <v>45351</v>
      </c>
      <c r="C389" s="1" t="n">
        <v>46202</v>
      </c>
      <c r="D389" t="inlineStr">
        <is>
          <t>HALLANDS LÄN</t>
        </is>
      </c>
      <c r="E389" t="inlineStr">
        <is>
          <t>FALKENBERG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20902-2025</t>
        </is>
      </c>
      <c r="B390" s="1" t="n">
        <v>45777</v>
      </c>
      <c r="C390" s="1" t="n">
        <v>46202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53069-2021</t>
        </is>
      </c>
      <c r="B391" s="1" t="n">
        <v>44467</v>
      </c>
      <c r="C391" s="1" t="n">
        <v>46202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</v>
      </c>
      <c r="C392" s="1" t="n">
        <v>46202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26887-2022</t>
        </is>
      </c>
      <c r="B393" s="1" t="n">
        <v>44740</v>
      </c>
      <c r="C393" s="1" t="n">
        <v>46202</v>
      </c>
      <c r="D393" t="inlineStr">
        <is>
          <t>HALLANDS LÄN</t>
        </is>
      </c>
      <c r="E393" t="inlineStr">
        <is>
          <t>FALKENBERG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43576-2023</t>
        </is>
      </c>
      <c r="B394" s="1" t="n">
        <v>45184</v>
      </c>
      <c r="C394" s="1" t="n">
        <v>46202</v>
      </c>
      <c r="D394" t="inlineStr">
        <is>
          <t>HALLANDS LÄN</t>
        </is>
      </c>
      <c r="E394" t="inlineStr">
        <is>
          <t>FALKENBERG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43610-2023</t>
        </is>
      </c>
      <c r="B395" s="1" t="n">
        <v>45184</v>
      </c>
      <c r="C395" s="1" t="n">
        <v>46202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6122-2024</t>
        </is>
      </c>
      <c r="B396" s="1" t="n">
        <v>45337</v>
      </c>
      <c r="C396" s="1" t="n">
        <v>46202</v>
      </c>
      <c r="D396" t="inlineStr">
        <is>
          <t>HALLANDS LÄN</t>
        </is>
      </c>
      <c r="E396" t="inlineStr">
        <is>
          <t>FALKENBERG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58107-2023</t>
        </is>
      </c>
      <c r="B397" s="1" t="n">
        <v>45249</v>
      </c>
      <c r="C397" s="1" t="n">
        <v>46202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45970-2022</t>
        </is>
      </c>
      <c r="B398" s="1" t="n">
        <v>44846</v>
      </c>
      <c r="C398" s="1" t="n">
        <v>46202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45974-2022</t>
        </is>
      </c>
      <c r="B399" s="1" t="n">
        <v>44846</v>
      </c>
      <c r="C399" s="1" t="n">
        <v>46202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33071-2025</t>
        </is>
      </c>
      <c r="B400" s="1" t="n">
        <v>45840</v>
      </c>
      <c r="C400" s="1" t="n">
        <v>46202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29863-2025</t>
        </is>
      </c>
      <c r="B401" s="1" t="n">
        <v>45826</v>
      </c>
      <c r="C401" s="1" t="n">
        <v>46202</v>
      </c>
      <c r="D401" t="inlineStr">
        <is>
          <t>HALLANDS LÄN</t>
        </is>
      </c>
      <c r="E401" t="inlineStr">
        <is>
          <t>FALKENBERG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18321-2024</t>
        </is>
      </c>
      <c r="B402" s="1" t="n">
        <v>45422</v>
      </c>
      <c r="C402" s="1" t="n">
        <v>46202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17382-2023</t>
        </is>
      </c>
      <c r="B403" s="1" t="n">
        <v>45035</v>
      </c>
      <c r="C403" s="1" t="n">
        <v>46202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43581-2023</t>
        </is>
      </c>
      <c r="B404" s="1" t="n">
        <v>45184</v>
      </c>
      <c r="C404" s="1" t="n">
        <v>46202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14606-2023</t>
        </is>
      </c>
      <c r="B405" s="1" t="n">
        <v>45013</v>
      </c>
      <c r="C405" s="1" t="n">
        <v>46202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63254-2023</t>
        </is>
      </c>
      <c r="B406" s="1" t="n">
        <v>45273</v>
      </c>
      <c r="C406" s="1" t="n">
        <v>46202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64455-2023</t>
        </is>
      </c>
      <c r="B407" s="1" t="n">
        <v>45280</v>
      </c>
      <c r="C407" s="1" t="n">
        <v>46202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46441-2024</t>
        </is>
      </c>
      <c r="B408" s="1" t="n">
        <v>45582</v>
      </c>
      <c r="C408" s="1" t="n">
        <v>46202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30893-2022</t>
        </is>
      </c>
      <c r="B409" s="1" t="n">
        <v>44767</v>
      </c>
      <c r="C409" s="1" t="n">
        <v>46202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24198-2023</t>
        </is>
      </c>
      <c r="B410" s="1" t="n">
        <v>45079</v>
      </c>
      <c r="C410" s="1" t="n">
        <v>46202</v>
      </c>
      <c r="D410" t="inlineStr">
        <is>
          <t>HALLANDS LÄN</t>
        </is>
      </c>
      <c r="E410" t="inlineStr">
        <is>
          <t>FALKENBERG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28103-2025</t>
        </is>
      </c>
      <c r="B411" s="1" t="n">
        <v>45817</v>
      </c>
      <c r="C411" s="1" t="n">
        <v>46202</v>
      </c>
      <c r="D411" t="inlineStr">
        <is>
          <t>HALLANDS LÄN</t>
        </is>
      </c>
      <c r="E411" t="inlineStr">
        <is>
          <t>FALKENBERG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19534-2022</t>
        </is>
      </c>
      <c r="B412" s="1" t="n">
        <v>44693</v>
      </c>
      <c r="C412" s="1" t="n">
        <v>46202</v>
      </c>
      <c r="D412" t="inlineStr">
        <is>
          <t>HALLANDS LÄN</t>
        </is>
      </c>
      <c r="E412" t="inlineStr">
        <is>
          <t>FALKENBERG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20250-2024</t>
        </is>
      </c>
      <c r="B413" s="1" t="n">
        <v>45434</v>
      </c>
      <c r="C413" s="1" t="n">
        <v>46202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14602-2023</t>
        </is>
      </c>
      <c r="B414" s="1" t="n">
        <v>45013</v>
      </c>
      <c r="C414" s="1" t="n">
        <v>46202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23036-2023</t>
        </is>
      </c>
      <c r="B415" s="1" t="n">
        <v>45074</v>
      </c>
      <c r="C415" s="1" t="n">
        <v>46202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2562-2023</t>
        </is>
      </c>
      <c r="B416" s="1" t="n">
        <v>44943</v>
      </c>
      <c r="C416" s="1" t="n">
        <v>46202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</v>
      </c>
      <c r="C417" s="1" t="n">
        <v>46202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39593-2022</t>
        </is>
      </c>
      <c r="B418" s="1" t="n">
        <v>44818</v>
      </c>
      <c r="C418" s="1" t="n">
        <v>46202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16486-2025</t>
        </is>
      </c>
      <c r="B419" s="1" t="n">
        <v>45751</v>
      </c>
      <c r="C419" s="1" t="n">
        <v>46202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16487-2025</t>
        </is>
      </c>
      <c r="B420" s="1" t="n">
        <v>45751</v>
      </c>
      <c r="C420" s="1" t="n">
        <v>46202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61931-2021</t>
        </is>
      </c>
      <c r="B421" s="1" t="n">
        <v>44502</v>
      </c>
      <c r="C421" s="1" t="n">
        <v>46202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50133-2023</t>
        </is>
      </c>
      <c r="B422" s="1" t="n">
        <v>45215</v>
      </c>
      <c r="C422" s="1" t="n">
        <v>46202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65081-2021</t>
        </is>
      </c>
      <c r="B423" s="1" t="n">
        <v>44515</v>
      </c>
      <c r="C423" s="1" t="n">
        <v>46202</v>
      </c>
      <c r="D423" t="inlineStr">
        <is>
          <t>HALLANDS LÄN</t>
        </is>
      </c>
      <c r="E423" t="inlineStr">
        <is>
          <t>FALKENBERG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6149-2024</t>
        </is>
      </c>
      <c r="B424" s="1" t="n">
        <v>45337</v>
      </c>
      <c r="C424" s="1" t="n">
        <v>46202</v>
      </c>
      <c r="D424" t="inlineStr">
        <is>
          <t>HALLANDS LÄN</t>
        </is>
      </c>
      <c r="E424" t="inlineStr">
        <is>
          <t>FALKENBERG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13514-2024</t>
        </is>
      </c>
      <c r="B425" s="1" t="n">
        <v>45387</v>
      </c>
      <c r="C425" s="1" t="n">
        <v>46202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63097-2023</t>
        </is>
      </c>
      <c r="B426" s="1" t="n">
        <v>45273</v>
      </c>
      <c r="C426" s="1" t="n">
        <v>46202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18077-2025</t>
        </is>
      </c>
      <c r="B427" s="1" t="n">
        <v>45761</v>
      </c>
      <c r="C427" s="1" t="n">
        <v>46202</v>
      </c>
      <c r="D427" t="inlineStr">
        <is>
          <t>HALLANDS LÄN</t>
        </is>
      </c>
      <c r="E427" t="inlineStr">
        <is>
          <t>FALKENBERG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16675-2025</t>
        </is>
      </c>
      <c r="B428" s="1" t="n">
        <v>45754</v>
      </c>
      <c r="C428" s="1" t="n">
        <v>46202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21978-2023</t>
        </is>
      </c>
      <c r="B429" s="1" t="n">
        <v>45068</v>
      </c>
      <c r="C429" s="1" t="n">
        <v>46202</v>
      </c>
      <c r="D429" t="inlineStr">
        <is>
          <t>HALLANDS LÄN</t>
        </is>
      </c>
      <c r="E429" t="inlineStr">
        <is>
          <t>FALKENBERG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50381-2022</t>
        </is>
      </c>
      <c r="B430" s="1" t="n">
        <v>44866</v>
      </c>
      <c r="C430" s="1" t="n">
        <v>46202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60594-2023</t>
        </is>
      </c>
      <c r="B431" s="1" t="n">
        <v>45260</v>
      </c>
      <c r="C431" s="1" t="n">
        <v>46202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18329-2024</t>
        </is>
      </c>
      <c r="B432" s="1" t="n">
        <v>45422</v>
      </c>
      <c r="C432" s="1" t="n">
        <v>46202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62712-2023</t>
        </is>
      </c>
      <c r="B433" s="1" t="n">
        <v>45271</v>
      </c>
      <c r="C433" s="1" t="n">
        <v>46202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66747-2021</t>
        </is>
      </c>
      <c r="B434" s="1" t="n">
        <v>44521</v>
      </c>
      <c r="C434" s="1" t="n">
        <v>46202</v>
      </c>
      <c r="D434" t="inlineStr">
        <is>
          <t>HALLANDS LÄN</t>
        </is>
      </c>
      <c r="E434" t="inlineStr">
        <is>
          <t>FALKENBERG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56652-2023</t>
        </is>
      </c>
      <c r="B435" s="1" t="n">
        <v>45243</v>
      </c>
      <c r="C435" s="1" t="n">
        <v>46202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46202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58089-2023</t>
        </is>
      </c>
      <c r="B437" s="1" t="n">
        <v>45248</v>
      </c>
      <c r="C437" s="1" t="n">
        <v>46202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58106-2023</t>
        </is>
      </c>
      <c r="B438" s="1" t="n">
        <v>45249</v>
      </c>
      <c r="C438" s="1" t="n">
        <v>46202</v>
      </c>
      <c r="D438" t="inlineStr">
        <is>
          <t>HALLANDS LÄN</t>
        </is>
      </c>
      <c r="E438" t="inlineStr">
        <is>
          <t>FALKENBERG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46202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4073-2023</t>
        </is>
      </c>
      <c r="B440" s="1" t="n">
        <v>44952</v>
      </c>
      <c r="C440" s="1" t="n">
        <v>46202</v>
      </c>
      <c r="D440" t="inlineStr">
        <is>
          <t>HALLANDS LÄN</t>
        </is>
      </c>
      <c r="E440" t="inlineStr">
        <is>
          <t>FALKENBERG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22546-2023</t>
        </is>
      </c>
      <c r="B441" s="1" t="n">
        <v>45071</v>
      </c>
      <c r="C441" s="1" t="n">
        <v>46202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18323-2024</t>
        </is>
      </c>
      <c r="B442" s="1" t="n">
        <v>45422</v>
      </c>
      <c r="C442" s="1" t="n">
        <v>46202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53427-2023</t>
        </is>
      </c>
      <c r="B443" s="1" t="n">
        <v>45229</v>
      </c>
      <c r="C443" s="1" t="n">
        <v>46202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58109-2023</t>
        </is>
      </c>
      <c r="B444" s="1" t="n">
        <v>45249</v>
      </c>
      <c r="C444" s="1" t="n">
        <v>46202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4066-2023</t>
        </is>
      </c>
      <c r="B445" s="1" t="n">
        <v>44952</v>
      </c>
      <c r="C445" s="1" t="n">
        <v>46202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4072-2023</t>
        </is>
      </c>
      <c r="B446" s="1" t="n">
        <v>44952</v>
      </c>
      <c r="C446" s="1" t="n">
        <v>46202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20251-2024</t>
        </is>
      </c>
      <c r="B447" s="1" t="n">
        <v>45434</v>
      </c>
      <c r="C447" s="1" t="n">
        <v>46202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35310-2023</t>
        </is>
      </c>
      <c r="B448" s="1" t="n">
        <v>45146</v>
      </c>
      <c r="C448" s="1" t="n">
        <v>46202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21815-2023</t>
        </is>
      </c>
      <c r="B449" s="1" t="n">
        <v>45068</v>
      </c>
      <c r="C449" s="1" t="n">
        <v>46202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1480-2024</t>
        </is>
      </c>
      <c r="B450" s="1" t="n">
        <v>45305</v>
      </c>
      <c r="C450" s="1" t="n">
        <v>46202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4070-2023</t>
        </is>
      </c>
      <c r="B451" s="1" t="n">
        <v>44952</v>
      </c>
      <c r="C451" s="1" t="n">
        <v>46202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45839-2024</t>
        </is>
      </c>
      <c r="B452" s="1" t="n">
        <v>45580</v>
      </c>
      <c r="C452" s="1" t="n">
        <v>46202</v>
      </c>
      <c r="D452" t="inlineStr">
        <is>
          <t>HALLANDS LÄN</t>
        </is>
      </c>
      <c r="E452" t="inlineStr">
        <is>
          <t>FALKENBERG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20907-2025</t>
        </is>
      </c>
      <c r="B453" s="1" t="n">
        <v>45777</v>
      </c>
      <c r="C453" s="1" t="n">
        <v>46202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6703-2022</t>
        </is>
      </c>
      <c r="B454" s="1" t="n">
        <v>44602</v>
      </c>
      <c r="C454" s="1" t="n">
        <v>46202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44963-2024</t>
        </is>
      </c>
      <c r="B455" s="1" t="n">
        <v>45575</v>
      </c>
      <c r="C455" s="1" t="n">
        <v>46202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56701-2024</t>
        </is>
      </c>
      <c r="B456" s="1" t="n">
        <v>45627</v>
      </c>
      <c r="C456" s="1" t="n">
        <v>46202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27436-2024</t>
        </is>
      </c>
      <c r="B457" s="1" t="n">
        <v>45474</v>
      </c>
      <c r="C457" s="1" t="n">
        <v>46202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42606-2023</t>
        </is>
      </c>
      <c r="B458" s="1" t="n">
        <v>45181</v>
      </c>
      <c r="C458" s="1" t="n">
        <v>46202</v>
      </c>
      <c r="D458" t="inlineStr">
        <is>
          <t>HALLANDS LÄN</t>
        </is>
      </c>
      <c r="E458" t="inlineStr">
        <is>
          <t>FALKENBERG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60909-2022</t>
        </is>
      </c>
      <c r="B459" s="1" t="n">
        <v>44908</v>
      </c>
      <c r="C459" s="1" t="n">
        <v>46202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21512-2025</t>
        </is>
      </c>
      <c r="B460" s="1" t="n">
        <v>45782</v>
      </c>
      <c r="C460" s="1" t="n">
        <v>46202</v>
      </c>
      <c r="D460" t="inlineStr">
        <is>
          <t>HALLANDS LÄN</t>
        </is>
      </c>
      <c r="E460" t="inlineStr">
        <is>
          <t>FALKENBERG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31856-2023</t>
        </is>
      </c>
      <c r="B461" s="1" t="n">
        <v>45118</v>
      </c>
      <c r="C461" s="1" t="n">
        <v>46202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38956-2025</t>
        </is>
      </c>
      <c r="B462" s="1" t="n">
        <v>45887</v>
      </c>
      <c r="C462" s="1" t="n">
        <v>46202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25366-2025</t>
        </is>
      </c>
      <c r="B463" s="1" t="n">
        <v>45800</v>
      </c>
      <c r="C463" s="1" t="n">
        <v>46202</v>
      </c>
      <c r="D463" t="inlineStr">
        <is>
          <t>HALLANDS LÄN</t>
        </is>
      </c>
      <c r="E463" t="inlineStr">
        <is>
          <t>FALKENBERG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58030-2023</t>
        </is>
      </c>
      <c r="B464" s="1" t="n">
        <v>45247</v>
      </c>
      <c r="C464" s="1" t="n">
        <v>46202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63852-2023</t>
        </is>
      </c>
      <c r="B465" s="1" t="n">
        <v>45278</v>
      </c>
      <c r="C465" s="1" t="n">
        <v>46202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47802-2025</t>
        </is>
      </c>
      <c r="B466" s="1" t="n">
        <v>45931</v>
      </c>
      <c r="C466" s="1" t="n">
        <v>46202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47806-2025</t>
        </is>
      </c>
      <c r="B467" s="1" t="n">
        <v>45931</v>
      </c>
      <c r="C467" s="1" t="n">
        <v>46202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47807-2025</t>
        </is>
      </c>
      <c r="B468" s="1" t="n">
        <v>45931</v>
      </c>
      <c r="C468" s="1" t="n">
        <v>46202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22094-2025</t>
        </is>
      </c>
      <c r="B469" s="1" t="n">
        <v>45785</v>
      </c>
      <c r="C469" s="1" t="n">
        <v>46202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22100-2025</t>
        </is>
      </c>
      <c r="B470" s="1" t="n">
        <v>45785</v>
      </c>
      <c r="C470" s="1" t="n">
        <v>46202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22109-2025</t>
        </is>
      </c>
      <c r="B471" s="1" t="n">
        <v>45785</v>
      </c>
      <c r="C471" s="1" t="n">
        <v>46202</v>
      </c>
      <c r="D471" t="inlineStr">
        <is>
          <t>HALLANDS LÄN</t>
        </is>
      </c>
      <c r="E471" t="inlineStr">
        <is>
          <t>FALKENBERG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50647-2024</t>
        </is>
      </c>
      <c r="B472" s="1" t="n">
        <v>45601</v>
      </c>
      <c r="C472" s="1" t="n">
        <v>46202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728-2024</t>
        </is>
      </c>
      <c r="B473" s="1" t="n">
        <v>45300</v>
      </c>
      <c r="C473" s="1" t="n">
        <v>46202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755-2024</t>
        </is>
      </c>
      <c r="B474" s="1" t="n">
        <v>45300</v>
      </c>
      <c r="C474" s="1" t="n">
        <v>46202</v>
      </c>
      <c r="D474" t="inlineStr">
        <is>
          <t>HALLANDS LÄN</t>
        </is>
      </c>
      <c r="E474" t="inlineStr">
        <is>
          <t>FALKENBERG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21465-2025</t>
        </is>
      </c>
      <c r="B475" s="1" t="n">
        <v>45782</v>
      </c>
      <c r="C475" s="1" t="n">
        <v>46202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40640-2025</t>
        </is>
      </c>
      <c r="B476" s="1" t="n">
        <v>45896</v>
      </c>
      <c r="C476" s="1" t="n">
        <v>46202</v>
      </c>
      <c r="D476" t="inlineStr">
        <is>
          <t>HALLANDS LÄN</t>
        </is>
      </c>
      <c r="E476" t="inlineStr">
        <is>
          <t>FALKENBERG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40614-2025</t>
        </is>
      </c>
      <c r="B477" s="1" t="n">
        <v>45896</v>
      </c>
      <c r="C477" s="1" t="n">
        <v>46202</v>
      </c>
      <c r="D477" t="inlineStr">
        <is>
          <t>HALLANDS LÄN</t>
        </is>
      </c>
      <c r="E477" t="inlineStr">
        <is>
          <t>FALKENBERG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57283-2023</t>
        </is>
      </c>
      <c r="B478" s="1" t="n">
        <v>45245</v>
      </c>
      <c r="C478" s="1" t="n">
        <v>46202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46403-2024</t>
        </is>
      </c>
      <c r="B479" s="1" t="n">
        <v>45582</v>
      </c>
      <c r="C479" s="1" t="n">
        <v>46202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39298-2025</t>
        </is>
      </c>
      <c r="B480" s="1" t="n">
        <v>45889</v>
      </c>
      <c r="C480" s="1" t="n">
        <v>46202</v>
      </c>
      <c r="D480" t="inlineStr">
        <is>
          <t>HALLANDS LÄN</t>
        </is>
      </c>
      <c r="E480" t="inlineStr">
        <is>
          <t>FALKENBERG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49033-2025</t>
        </is>
      </c>
      <c r="B481" s="1" t="n">
        <v>45937</v>
      </c>
      <c r="C481" s="1" t="n">
        <v>46202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30822-2025</t>
        </is>
      </c>
      <c r="B482" s="1" t="n">
        <v>45831</v>
      </c>
      <c r="C482" s="1" t="n">
        <v>46202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</v>
      </c>
      <c r="C483" s="1" t="n">
        <v>46202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14505-2025</t>
        </is>
      </c>
      <c r="B484" s="1" t="n">
        <v>45741</v>
      </c>
      <c r="C484" s="1" t="n">
        <v>46202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42074-2024</t>
        </is>
      </c>
      <c r="B485" s="1" t="n">
        <v>45562</v>
      </c>
      <c r="C485" s="1" t="n">
        <v>46202</v>
      </c>
      <c r="D485" t="inlineStr">
        <is>
          <t>HALLANDS LÄN</t>
        </is>
      </c>
      <c r="E485" t="inlineStr">
        <is>
          <t>FALKENBERG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49761-2025</t>
        </is>
      </c>
      <c r="B486" s="1" t="n">
        <v>45940</v>
      </c>
      <c r="C486" s="1" t="n">
        <v>46202</v>
      </c>
      <c r="D486" t="inlineStr">
        <is>
          <t>HALLANDS LÄN</t>
        </is>
      </c>
      <c r="E486" t="inlineStr">
        <is>
          <t>FALKENBERG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21925-2024</t>
        </is>
      </c>
      <c r="B487" s="1" t="n">
        <v>45443</v>
      </c>
      <c r="C487" s="1" t="n">
        <v>46202</v>
      </c>
      <c r="D487" t="inlineStr">
        <is>
          <t>HALLANDS LÄN</t>
        </is>
      </c>
      <c r="E487" t="inlineStr">
        <is>
          <t>FALKENBERG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19565-2025</t>
        </is>
      </c>
      <c r="B488" s="1" t="n">
        <v>45770</v>
      </c>
      <c r="C488" s="1" t="n">
        <v>46202</v>
      </c>
      <c r="D488" t="inlineStr">
        <is>
          <t>HALLANDS LÄN</t>
        </is>
      </c>
      <c r="E488" t="inlineStr">
        <is>
          <t>FALKENBERG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33041-2022</t>
        </is>
      </c>
      <c r="B489" s="1" t="n">
        <v>44785</v>
      </c>
      <c r="C489" s="1" t="n">
        <v>46202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40441-2025</t>
        </is>
      </c>
      <c r="B490" s="1" t="n">
        <v>45895</v>
      </c>
      <c r="C490" s="1" t="n">
        <v>46202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40448-2025</t>
        </is>
      </c>
      <c r="B491" s="1" t="n">
        <v>45895</v>
      </c>
      <c r="C491" s="1" t="n">
        <v>46202</v>
      </c>
      <c r="D491" t="inlineStr">
        <is>
          <t>HALLANDS LÄN</t>
        </is>
      </c>
      <c r="E491" t="inlineStr">
        <is>
          <t>FALKENBERG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50905-2025</t>
        </is>
      </c>
      <c r="B492" s="1" t="n">
        <v>45946</v>
      </c>
      <c r="C492" s="1" t="n">
        <v>46202</v>
      </c>
      <c r="D492" t="inlineStr">
        <is>
          <t>HALLANDS LÄN</t>
        </is>
      </c>
      <c r="E492" t="inlineStr">
        <is>
          <t>FALKENBERG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50909-2025</t>
        </is>
      </c>
      <c r="B493" s="1" t="n">
        <v>45946</v>
      </c>
      <c r="C493" s="1" t="n">
        <v>46202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42915-2023</t>
        </is>
      </c>
      <c r="B494" s="1" t="n">
        <v>45182</v>
      </c>
      <c r="C494" s="1" t="n">
        <v>46202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7203-2025</t>
        </is>
      </c>
      <c r="B495" s="1" t="n">
        <v>45702</v>
      </c>
      <c r="C495" s="1" t="n">
        <v>46202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50894-2025</t>
        </is>
      </c>
      <c r="B496" s="1" t="n">
        <v>45946</v>
      </c>
      <c r="C496" s="1" t="n">
        <v>46202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46522-2024</t>
        </is>
      </c>
      <c r="B497" s="1" t="n">
        <v>45582</v>
      </c>
      <c r="C497" s="1" t="n">
        <v>46202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59208-2023</t>
        </is>
      </c>
      <c r="B498" s="1" t="n">
        <v>45252</v>
      </c>
      <c r="C498" s="1" t="n">
        <v>46202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51668-2025</t>
        </is>
      </c>
      <c r="B499" s="1" t="n">
        <v>45951</v>
      </c>
      <c r="C499" s="1" t="n">
        <v>46202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41391-2025</t>
        </is>
      </c>
      <c r="B500" s="1" t="n">
        <v>45901</v>
      </c>
      <c r="C500" s="1" t="n">
        <v>46202</v>
      </c>
      <c r="D500" t="inlineStr">
        <is>
          <t>HALLANDS LÄN</t>
        </is>
      </c>
      <c r="E500" t="inlineStr">
        <is>
          <t>FALKENBERG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51535-2025</t>
        </is>
      </c>
      <c r="B501" s="1" t="n">
        <v>45950</v>
      </c>
      <c r="C501" s="1" t="n">
        <v>46202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41622-2025</t>
        </is>
      </c>
      <c r="B502" s="1" t="n">
        <v>45901</v>
      </c>
      <c r="C502" s="1" t="n">
        <v>46202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52050-2025</t>
        </is>
      </c>
      <c r="B503" s="1" t="n">
        <v>45952</v>
      </c>
      <c r="C503" s="1" t="n">
        <v>46202</v>
      </c>
      <c r="D503" t="inlineStr">
        <is>
          <t>HALLANDS LÄN</t>
        </is>
      </c>
      <c r="E503" t="inlineStr">
        <is>
          <t>FALKENBERG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52052-2025</t>
        </is>
      </c>
      <c r="B504" s="1" t="n">
        <v>45952</v>
      </c>
      <c r="C504" s="1" t="n">
        <v>46202</v>
      </c>
      <c r="D504" t="inlineStr">
        <is>
          <t>HALLANDS LÄN</t>
        </is>
      </c>
      <c r="E504" t="inlineStr">
        <is>
          <t>FALKENBERG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52162-2025</t>
        </is>
      </c>
      <c r="B505" s="1" t="n">
        <v>45953</v>
      </c>
      <c r="C505" s="1" t="n">
        <v>46202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57433-2024</t>
        </is>
      </c>
      <c r="B506" s="1" t="n">
        <v>45629</v>
      </c>
      <c r="C506" s="1" t="n">
        <v>46202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52178-2025</t>
        </is>
      </c>
      <c r="B507" s="1" t="n">
        <v>45953</v>
      </c>
      <c r="C507" s="1" t="n">
        <v>46202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51828-2025</t>
        </is>
      </c>
      <c r="B508" s="1" t="n">
        <v>45952</v>
      </c>
      <c r="C508" s="1" t="n">
        <v>46202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52428-2025</t>
        </is>
      </c>
      <c r="B509" s="1" t="n">
        <v>45954</v>
      </c>
      <c r="C509" s="1" t="n">
        <v>46202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1648-2025</t>
        </is>
      </c>
      <c r="B510" s="1" t="n">
        <v>45670</v>
      </c>
      <c r="C510" s="1" t="n">
        <v>46202</v>
      </c>
      <c r="D510" t="inlineStr">
        <is>
          <t>HALLANDS LÄN</t>
        </is>
      </c>
      <c r="E510" t="inlineStr">
        <is>
          <t>FALKENBERG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55878-2023</t>
        </is>
      </c>
      <c r="B511" s="1" t="n">
        <v>45239</v>
      </c>
      <c r="C511" s="1" t="n">
        <v>46202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54131-2024</t>
        </is>
      </c>
      <c r="B512" s="1" t="n">
        <v>45616</v>
      </c>
      <c r="C512" s="1" t="n">
        <v>46202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63033-2023</t>
        </is>
      </c>
      <c r="B513" s="1" t="n">
        <v>45272</v>
      </c>
      <c r="C513" s="1" t="n">
        <v>46202</v>
      </c>
      <c r="D513" t="inlineStr">
        <is>
          <t>HALLANDS LÄN</t>
        </is>
      </c>
      <c r="E513" t="inlineStr">
        <is>
          <t>FALKENBERG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42678-2025</t>
        </is>
      </c>
      <c r="B514" s="1" t="n">
        <v>45908</v>
      </c>
      <c r="C514" s="1" t="n">
        <v>46202</v>
      </c>
      <c r="D514" t="inlineStr">
        <is>
          <t>HALLANDS LÄN</t>
        </is>
      </c>
      <c r="E514" t="inlineStr">
        <is>
          <t>FALKENBERG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53939-2021</t>
        </is>
      </c>
      <c r="B515" s="1" t="n">
        <v>44469</v>
      </c>
      <c r="C515" s="1" t="n">
        <v>46202</v>
      </c>
      <c r="D515" t="inlineStr">
        <is>
          <t>HALLANDS LÄN</t>
        </is>
      </c>
      <c r="E515" t="inlineStr">
        <is>
          <t>FALKENBERG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53304-2025</t>
        </is>
      </c>
      <c r="B516" s="1" t="n">
        <v>45959</v>
      </c>
      <c r="C516" s="1" t="n">
        <v>46202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53309-2025</t>
        </is>
      </c>
      <c r="B517" s="1" t="n">
        <v>45959</v>
      </c>
      <c r="C517" s="1" t="n">
        <v>46202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53402-2025</t>
        </is>
      </c>
      <c r="B518" s="1" t="n">
        <v>45959</v>
      </c>
      <c r="C518" s="1" t="n">
        <v>46202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53303-2025</t>
        </is>
      </c>
      <c r="B519" s="1" t="n">
        <v>45959</v>
      </c>
      <c r="C519" s="1" t="n">
        <v>46202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53306-2025</t>
        </is>
      </c>
      <c r="B520" s="1" t="n">
        <v>45959</v>
      </c>
      <c r="C520" s="1" t="n">
        <v>46202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53412-2025</t>
        </is>
      </c>
      <c r="B521" s="1" t="n">
        <v>45959</v>
      </c>
      <c r="C521" s="1" t="n">
        <v>46202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6618-2025</t>
        </is>
      </c>
      <c r="B522" s="1" t="n">
        <v>45700</v>
      </c>
      <c r="C522" s="1" t="n">
        <v>46202</v>
      </c>
      <c r="D522" t="inlineStr">
        <is>
          <t>HALLANDS LÄN</t>
        </is>
      </c>
      <c r="E522" t="inlineStr">
        <is>
          <t>FALKENBERG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22913-2025</t>
        </is>
      </c>
      <c r="B523" s="1" t="n">
        <v>45790</v>
      </c>
      <c r="C523" s="1" t="n">
        <v>46202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51539-2025</t>
        </is>
      </c>
      <c r="B524" s="1" t="n">
        <v>45950</v>
      </c>
      <c r="C524" s="1" t="n">
        <v>46202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16430-2023</t>
        </is>
      </c>
      <c r="B525" s="1" t="n">
        <v>45029</v>
      </c>
      <c r="C525" s="1" t="n">
        <v>46202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3559-2025</t>
        </is>
      </c>
      <c r="B526" s="1" t="n">
        <v>45680</v>
      </c>
      <c r="C526" s="1" t="n">
        <v>46202</v>
      </c>
      <c r="D526" t="inlineStr">
        <is>
          <t>HALLANDS LÄN</t>
        </is>
      </c>
      <c r="E526" t="inlineStr">
        <is>
          <t>FALKENBERG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43913-2025</t>
        </is>
      </c>
      <c r="B527" s="1" t="n">
        <v>45914</v>
      </c>
      <c r="C527" s="1" t="n">
        <v>46202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53722-2025</t>
        </is>
      </c>
      <c r="B528" s="1" t="n">
        <v>45960</v>
      </c>
      <c r="C528" s="1" t="n">
        <v>46202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53734-2025</t>
        </is>
      </c>
      <c r="B529" s="1" t="n">
        <v>45960</v>
      </c>
      <c r="C529" s="1" t="n">
        <v>46202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43914-2025</t>
        </is>
      </c>
      <c r="B530" s="1" t="n">
        <v>45914</v>
      </c>
      <c r="C530" s="1" t="n">
        <v>46202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53576-2025</t>
        </is>
      </c>
      <c r="B531" s="1" t="n">
        <v>45960</v>
      </c>
      <c r="C531" s="1" t="n">
        <v>46202</v>
      </c>
      <c r="D531" t="inlineStr">
        <is>
          <t>HALLANDS LÄN</t>
        </is>
      </c>
      <c r="E531" t="inlineStr">
        <is>
          <t>FALKENBERG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53579-2025</t>
        </is>
      </c>
      <c r="B532" s="1" t="n">
        <v>45960</v>
      </c>
      <c r="C532" s="1" t="n">
        <v>46202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53887-2025</t>
        </is>
      </c>
      <c r="B533" s="1" t="n">
        <v>45961</v>
      </c>
      <c r="C533" s="1" t="n">
        <v>46202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53852-2025</t>
        </is>
      </c>
      <c r="B534" s="1" t="n">
        <v>45961</v>
      </c>
      <c r="C534" s="1" t="n">
        <v>46202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53853-2025</t>
        </is>
      </c>
      <c r="B535" s="1" t="n">
        <v>45961</v>
      </c>
      <c r="C535" s="1" t="n">
        <v>46202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44954-2023</t>
        </is>
      </c>
      <c r="B536" s="1" t="n">
        <v>45190</v>
      </c>
      <c r="C536" s="1" t="n">
        <v>46202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53801-2025</t>
        </is>
      </c>
      <c r="B537" s="1" t="n">
        <v>45960</v>
      </c>
      <c r="C537" s="1" t="n">
        <v>46202</v>
      </c>
      <c r="D537" t="inlineStr">
        <is>
          <t>HALLANDS LÄN</t>
        </is>
      </c>
      <c r="E537" t="inlineStr">
        <is>
          <t>FALKENBERG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</v>
      </c>
      <c r="C538" s="1" t="n">
        <v>46202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54276-2025</t>
        </is>
      </c>
      <c r="B539" s="1" t="n">
        <v>45964</v>
      </c>
      <c r="C539" s="1" t="n">
        <v>46202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10821-2024</t>
        </is>
      </c>
      <c r="B540" s="1" t="n">
        <v>45369</v>
      </c>
      <c r="C540" s="1" t="n">
        <v>46202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44750-2025</t>
        </is>
      </c>
      <c r="B541" s="1" t="n">
        <v>45917</v>
      </c>
      <c r="C541" s="1" t="n">
        <v>46202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54434-2025</t>
        </is>
      </c>
      <c r="B542" s="1" t="n">
        <v>45965</v>
      </c>
      <c r="C542" s="1" t="n">
        <v>46202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54439-2025</t>
        </is>
      </c>
      <c r="B543" s="1" t="n">
        <v>45965</v>
      </c>
      <c r="C543" s="1" t="n">
        <v>46202</v>
      </c>
      <c r="D543" t="inlineStr">
        <is>
          <t>HALLANDS LÄN</t>
        </is>
      </c>
      <c r="E543" t="inlineStr">
        <is>
          <t>FALKENBERG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9999-2024</t>
        </is>
      </c>
      <c r="B544" s="1" t="n">
        <v>45363</v>
      </c>
      <c r="C544" s="1" t="n">
        <v>46202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54130-2025</t>
        </is>
      </c>
      <c r="B545" s="1" t="n">
        <v>45964</v>
      </c>
      <c r="C545" s="1" t="n">
        <v>46202</v>
      </c>
      <c r="D545" t="inlineStr">
        <is>
          <t>HALLANDS LÄN</t>
        </is>
      </c>
      <c r="E545" t="inlineStr">
        <is>
          <t>FALKENBERG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54443-2025</t>
        </is>
      </c>
      <c r="B546" s="1" t="n">
        <v>45965</v>
      </c>
      <c r="C546" s="1" t="n">
        <v>46202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54461-2025</t>
        </is>
      </c>
      <c r="B547" s="1" t="n">
        <v>45965</v>
      </c>
      <c r="C547" s="1" t="n">
        <v>46202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15767-2025</t>
        </is>
      </c>
      <c r="B548" s="1" t="n">
        <v>45748</v>
      </c>
      <c r="C548" s="1" t="n">
        <v>46202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6508-2023</t>
        </is>
      </c>
      <c r="B549" s="1" t="n">
        <v>44966</v>
      </c>
      <c r="C549" s="1" t="n">
        <v>46202</v>
      </c>
      <c r="D549" t="inlineStr">
        <is>
          <t>HALLANDS LÄN</t>
        </is>
      </c>
      <c r="E549" t="inlineStr">
        <is>
          <t>FALKENBERG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4440-2025</t>
        </is>
      </c>
      <c r="B550" s="1" t="n">
        <v>45686</v>
      </c>
      <c r="C550" s="1" t="n">
        <v>46202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54581-2025</t>
        </is>
      </c>
      <c r="B551" s="1" t="n">
        <v>45965</v>
      </c>
      <c r="C551" s="1" t="n">
        <v>46202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54583-2025</t>
        </is>
      </c>
      <c r="B552" s="1" t="n">
        <v>45965</v>
      </c>
      <c r="C552" s="1" t="n">
        <v>46202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56650-2023</t>
        </is>
      </c>
      <c r="B553" s="1" t="n">
        <v>45238</v>
      </c>
      <c r="C553" s="1" t="n">
        <v>46202</v>
      </c>
      <c r="D553" t="inlineStr">
        <is>
          <t>HALLANDS LÄN</t>
        </is>
      </c>
      <c r="E553" t="inlineStr">
        <is>
          <t>FALKENBERG</t>
        </is>
      </c>
      <c r="G553" t="n">
        <v>29.4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54424-2025</t>
        </is>
      </c>
      <c r="B554" s="1" t="n">
        <v>45965</v>
      </c>
      <c r="C554" s="1" t="n">
        <v>46202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45699-2025</t>
        </is>
      </c>
      <c r="B555" s="1" t="n">
        <v>45923</v>
      </c>
      <c r="C555" s="1" t="n">
        <v>46202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45852-2025</t>
        </is>
      </c>
      <c r="B556" s="1" t="n">
        <v>45923</v>
      </c>
      <c r="C556" s="1" t="n">
        <v>46202</v>
      </c>
      <c r="D556" t="inlineStr">
        <is>
          <t>HALLANDS LÄN</t>
        </is>
      </c>
      <c r="E556" t="inlineStr">
        <is>
          <t>FALKENBERG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49889-2024</t>
        </is>
      </c>
      <c r="B557" s="1" t="n">
        <v>45597</v>
      </c>
      <c r="C557" s="1" t="n">
        <v>46202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45645-2025</t>
        </is>
      </c>
      <c r="B558" s="1" t="n">
        <v>45923</v>
      </c>
      <c r="C558" s="1" t="n">
        <v>46202</v>
      </c>
      <c r="D558" t="inlineStr">
        <is>
          <t>HALLANDS LÄN</t>
        </is>
      </c>
      <c r="E558" t="inlineStr">
        <is>
          <t>FALKENBERG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55107-2025</t>
        </is>
      </c>
      <c r="B559" s="1" t="n">
        <v>45968</v>
      </c>
      <c r="C559" s="1" t="n">
        <v>46202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45700-2025</t>
        </is>
      </c>
      <c r="B560" s="1" t="n">
        <v>45923</v>
      </c>
      <c r="C560" s="1" t="n">
        <v>46202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45702-2025</t>
        </is>
      </c>
      <c r="B561" s="1" t="n">
        <v>45923</v>
      </c>
      <c r="C561" s="1" t="n">
        <v>46202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55538-2025</t>
        </is>
      </c>
      <c r="B562" s="1" t="n">
        <v>45971</v>
      </c>
      <c r="C562" s="1" t="n">
        <v>46202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55539-2025</t>
        </is>
      </c>
      <c r="B563" s="1" t="n">
        <v>45971</v>
      </c>
      <c r="C563" s="1" t="n">
        <v>46202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41702-2024</t>
        </is>
      </c>
      <c r="B564" s="1" t="n">
        <v>45560</v>
      </c>
      <c r="C564" s="1" t="n">
        <v>46202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8892-2024</t>
        </is>
      </c>
      <c r="B565" s="1" t="n">
        <v>45357</v>
      </c>
      <c r="C565" s="1" t="n">
        <v>46202</v>
      </c>
      <c r="D565" t="inlineStr">
        <is>
          <t>HALLANDS LÄN</t>
        </is>
      </c>
      <c r="E565" t="inlineStr">
        <is>
          <t>FALKENBERG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45944-2025</t>
        </is>
      </c>
      <c r="B566" s="1" t="n">
        <v>45924</v>
      </c>
      <c r="C566" s="1" t="n">
        <v>46202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55535-2025</t>
        </is>
      </c>
      <c r="B567" s="1" t="n">
        <v>45971</v>
      </c>
      <c r="C567" s="1" t="n">
        <v>46202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46009-2025</t>
        </is>
      </c>
      <c r="B568" s="1" t="n">
        <v>45924</v>
      </c>
      <c r="C568" s="1" t="n">
        <v>46202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55141-2025</t>
        </is>
      </c>
      <c r="B569" s="1" t="n">
        <v>45968</v>
      </c>
      <c r="C569" s="1" t="n">
        <v>46202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55608-2025</t>
        </is>
      </c>
      <c r="B570" s="1" t="n">
        <v>45971</v>
      </c>
      <c r="C570" s="1" t="n">
        <v>46202</v>
      </c>
      <c r="D570" t="inlineStr">
        <is>
          <t>HALLANDS LÄN</t>
        </is>
      </c>
      <c r="E570" t="inlineStr">
        <is>
          <t>FALKENBERG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55949-2025</t>
        </is>
      </c>
      <c r="B571" s="1" t="n">
        <v>45973</v>
      </c>
      <c r="C571" s="1" t="n">
        <v>46202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46655-2025</t>
        </is>
      </c>
      <c r="B572" s="1" t="n">
        <v>45926</v>
      </c>
      <c r="C572" s="1" t="n">
        <v>46202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46701-2025</t>
        </is>
      </c>
      <c r="B573" s="1" t="n">
        <v>45926</v>
      </c>
      <c r="C573" s="1" t="n">
        <v>46202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46704-2025</t>
        </is>
      </c>
      <c r="B574" s="1" t="n">
        <v>45926</v>
      </c>
      <c r="C574" s="1" t="n">
        <v>46202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55923-2025</t>
        </is>
      </c>
      <c r="B575" s="1" t="n">
        <v>45973</v>
      </c>
      <c r="C575" s="1" t="n">
        <v>46202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46659-2025</t>
        </is>
      </c>
      <c r="B576" s="1" t="n">
        <v>45926</v>
      </c>
      <c r="C576" s="1" t="n">
        <v>46202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56564-2025</t>
        </is>
      </c>
      <c r="B577" s="1" t="n">
        <v>45975</v>
      </c>
      <c r="C577" s="1" t="n">
        <v>46202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56552-2025</t>
        </is>
      </c>
      <c r="B578" s="1" t="n">
        <v>45975</v>
      </c>
      <c r="C578" s="1" t="n">
        <v>46202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940-2025</t>
        </is>
      </c>
      <c r="B579" s="1" t="n">
        <v>45666</v>
      </c>
      <c r="C579" s="1" t="n">
        <v>46202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24887-2025</t>
        </is>
      </c>
      <c r="B580" s="1" t="n">
        <v>45799</v>
      </c>
      <c r="C580" s="1" t="n">
        <v>46202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57115-2025</t>
        </is>
      </c>
      <c r="B581" s="1" t="n">
        <v>45978</v>
      </c>
      <c r="C581" s="1" t="n">
        <v>46202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59270-2025</t>
        </is>
      </c>
      <c r="B582" s="1" t="n">
        <v>45988</v>
      </c>
      <c r="C582" s="1" t="n">
        <v>46202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59273-2025</t>
        </is>
      </c>
      <c r="B583" s="1" t="n">
        <v>45988</v>
      </c>
      <c r="C583" s="1" t="n">
        <v>46202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59510-2025</t>
        </is>
      </c>
      <c r="B584" s="1" t="n">
        <v>45989</v>
      </c>
      <c r="C584" s="1" t="n">
        <v>46202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25071-2025</t>
        </is>
      </c>
      <c r="B585" s="1" t="n">
        <v>45799</v>
      </c>
      <c r="C585" s="1" t="n">
        <v>46202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25072-2025</t>
        </is>
      </c>
      <c r="B586" s="1" t="n">
        <v>45799</v>
      </c>
      <c r="C586" s="1" t="n">
        <v>46202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60812-2025</t>
        </is>
      </c>
      <c r="B587" s="1" t="n">
        <v>45999</v>
      </c>
      <c r="C587" s="1" t="n">
        <v>46202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62014-2025</t>
        </is>
      </c>
      <c r="B588" s="1" t="n">
        <v>46003</v>
      </c>
      <c r="C588" s="1" t="n">
        <v>46202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62534-2025</t>
        </is>
      </c>
      <c r="B589" s="1" t="n">
        <v>46007</v>
      </c>
      <c r="C589" s="1" t="n">
        <v>46202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62035-2025</t>
        </is>
      </c>
      <c r="B590" s="1" t="n">
        <v>46004</v>
      </c>
      <c r="C590" s="1" t="n">
        <v>46202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62131-2025</t>
        </is>
      </c>
      <c r="B591" s="1" t="n">
        <v>46006</v>
      </c>
      <c r="C591" s="1" t="n">
        <v>46202</v>
      </c>
      <c r="D591" t="inlineStr">
        <is>
          <t>HALLANDS LÄN</t>
        </is>
      </c>
      <c r="E591" t="inlineStr">
        <is>
          <t>FALKENBERG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62138-2025</t>
        </is>
      </c>
      <c r="B592" s="1" t="n">
        <v>46006</v>
      </c>
      <c r="C592" s="1" t="n">
        <v>46202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62144-2025</t>
        </is>
      </c>
      <c r="B593" s="1" t="n">
        <v>46006</v>
      </c>
      <c r="C593" s="1" t="n">
        <v>46202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52273-2025</t>
        </is>
      </c>
      <c r="B594" s="1" t="n">
        <v>45953</v>
      </c>
      <c r="C594" s="1" t="n">
        <v>46202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1848-2026</t>
        </is>
      </c>
      <c r="B595" s="1" t="n">
        <v>46031</v>
      </c>
      <c r="C595" s="1" t="n">
        <v>46202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2561-2026</t>
        </is>
      </c>
      <c r="B596" s="1" t="n">
        <v>46035</v>
      </c>
      <c r="C596" s="1" t="n">
        <v>46202</v>
      </c>
      <c r="D596" t="inlineStr">
        <is>
          <t>HALLANDS LÄN</t>
        </is>
      </c>
      <c r="E596" t="inlineStr">
        <is>
          <t>FALKENBERG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2640-2026</t>
        </is>
      </c>
      <c r="B597" s="1" t="n">
        <v>46037</v>
      </c>
      <c r="C597" s="1" t="n">
        <v>46202</v>
      </c>
      <c r="D597" t="inlineStr">
        <is>
          <t>HALLANDS LÄN</t>
        </is>
      </c>
      <c r="E597" t="inlineStr">
        <is>
          <t>FALKENBERG</t>
        </is>
      </c>
      <c r="F597" t="inlineStr">
        <is>
          <t>Naturvårdsverket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2512-2026</t>
        </is>
      </c>
      <c r="B598" s="1" t="n">
        <v>46037</v>
      </c>
      <c r="C598" s="1" t="n">
        <v>46202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3199-2026</t>
        </is>
      </c>
      <c r="B599" s="1" t="n">
        <v>46041</v>
      </c>
      <c r="C599" s="1" t="n">
        <v>46202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3530-2026</t>
        </is>
      </c>
      <c r="B600" s="1" t="n">
        <v>46042</v>
      </c>
      <c r="C600" s="1" t="n">
        <v>46202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3529-2026</t>
        </is>
      </c>
      <c r="B601" s="1" t="n">
        <v>46042</v>
      </c>
      <c r="C601" s="1" t="n">
        <v>46202</v>
      </c>
      <c r="D601" t="inlineStr">
        <is>
          <t>HALLANDS LÄN</t>
        </is>
      </c>
      <c r="E601" t="inlineStr">
        <is>
          <t>FALKENBERG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4360-2026</t>
        </is>
      </c>
      <c r="B602" s="1" t="n">
        <v>46045</v>
      </c>
      <c r="C602" s="1" t="n">
        <v>46202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5046-2026</t>
        </is>
      </c>
      <c r="B603" s="1" t="n">
        <v>46049</v>
      </c>
      <c r="C603" s="1" t="n">
        <v>46202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</v>
      </c>
      <c r="C604" s="1" t="n">
        <v>46202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5987-2026</t>
        </is>
      </c>
      <c r="B605" s="1" t="n">
        <v>46052</v>
      </c>
      <c r="C605" s="1" t="n">
        <v>46202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54606-2025</t>
        </is>
      </c>
      <c r="B606" s="1" t="n">
        <v>45966</v>
      </c>
      <c r="C606" s="1" t="n">
        <v>46202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8520-2026</t>
        </is>
      </c>
      <c r="B607" s="1" t="n">
        <v>46065</v>
      </c>
      <c r="C607" s="1" t="n">
        <v>46202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9056-2026</t>
        </is>
      </c>
      <c r="B608" s="1" t="n">
        <v>46069</v>
      </c>
      <c r="C608" s="1" t="n">
        <v>46202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9249-2026</t>
        </is>
      </c>
      <c r="B609" s="1" t="n">
        <v>46070</v>
      </c>
      <c r="C609" s="1" t="n">
        <v>46202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8514-2026</t>
        </is>
      </c>
      <c r="B610" s="1" t="n">
        <v>46065</v>
      </c>
      <c r="C610" s="1" t="n">
        <v>46202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10540-2026</t>
        </is>
      </c>
      <c r="B611" s="1" t="n">
        <v>46077</v>
      </c>
      <c r="C611" s="1" t="n">
        <v>46202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12300-2026</t>
        </is>
      </c>
      <c r="B612" s="1" t="n">
        <v>46087</v>
      </c>
      <c r="C612" s="1" t="n">
        <v>46202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10538-2026</t>
        </is>
      </c>
      <c r="B613" s="1" t="n">
        <v>46077</v>
      </c>
      <c r="C613" s="1" t="n">
        <v>46202</v>
      </c>
      <c r="D613" t="inlineStr">
        <is>
          <t>HALLANDS LÄN</t>
        </is>
      </c>
      <c r="E613" t="inlineStr">
        <is>
          <t>FALKENBERG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11334-2026</t>
        </is>
      </c>
      <c r="B614" s="1" t="n">
        <v>46082</v>
      </c>
      <c r="C614" s="1" t="n">
        <v>46202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11336-2026</t>
        </is>
      </c>
      <c r="B615" s="1" t="n">
        <v>46082</v>
      </c>
      <c r="C615" s="1" t="n">
        <v>46202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12030-2026</t>
        </is>
      </c>
      <c r="B616" s="1" t="n">
        <v>46085</v>
      </c>
      <c r="C616" s="1" t="n">
        <v>46202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12298-2026</t>
        </is>
      </c>
      <c r="B617" s="1" t="n">
        <v>46087</v>
      </c>
      <c r="C617" s="1" t="n">
        <v>46202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13774-2026</t>
        </is>
      </c>
      <c r="B618" s="1" t="n">
        <v>46097</v>
      </c>
      <c r="C618" s="1" t="n">
        <v>46202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14204-2026</t>
        </is>
      </c>
      <c r="B619" s="1" t="n">
        <v>46099</v>
      </c>
      <c r="C619" s="1" t="n">
        <v>46202</v>
      </c>
      <c r="D619" t="inlineStr">
        <is>
          <t>HALLANDS LÄN</t>
        </is>
      </c>
      <c r="E619" t="inlineStr">
        <is>
          <t>FALKENBERG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15513-2026</t>
        </is>
      </c>
      <c r="B620" s="1" t="n">
        <v>46106</v>
      </c>
      <c r="C620" s="1" t="n">
        <v>46202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15505-2026</t>
        </is>
      </c>
      <c r="B621" s="1" t="n">
        <v>46106</v>
      </c>
      <c r="C621" s="1" t="n">
        <v>46202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15404-2026</t>
        </is>
      </c>
      <c r="B622" s="1" t="n">
        <v>46106</v>
      </c>
      <c r="C622" s="1" t="n">
        <v>46202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17484-2026</t>
        </is>
      </c>
      <c r="B623" s="1" t="n">
        <v>46120</v>
      </c>
      <c r="C623" s="1" t="n">
        <v>46202</v>
      </c>
      <c r="D623" t="inlineStr">
        <is>
          <t>HALLANDS LÄN</t>
        </is>
      </c>
      <c r="E623" t="inlineStr">
        <is>
          <t>FALKENBERG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23395-2026</t>
        </is>
      </c>
      <c r="B624" s="1" t="n">
        <v>46162</v>
      </c>
      <c r="C624" s="1" t="n">
        <v>46202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23675-2026</t>
        </is>
      </c>
      <c r="B625" s="1" t="n">
        <v>46164</v>
      </c>
      <c r="C625" s="1" t="n">
        <v>46202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23695-2026</t>
        </is>
      </c>
      <c r="B626" s="1" t="n">
        <v>46164</v>
      </c>
      <c r="C626" s="1" t="n">
        <v>46202</v>
      </c>
      <c r="D626" t="inlineStr">
        <is>
          <t>HALLANDS LÄN</t>
        </is>
      </c>
      <c r="E626" t="inlineStr">
        <is>
          <t>FALKENBERG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23666-2026</t>
        </is>
      </c>
      <c r="B627" s="1" t="n">
        <v>46164</v>
      </c>
      <c r="C627" s="1" t="n">
        <v>46202</v>
      </c>
      <c r="D627" t="inlineStr">
        <is>
          <t>HALLANDS LÄN</t>
        </is>
      </c>
      <c r="E627" t="inlineStr">
        <is>
          <t>FALKENBERG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23705-2026</t>
        </is>
      </c>
      <c r="B628" s="1" t="n">
        <v>46164</v>
      </c>
      <c r="C628" s="1" t="n">
        <v>46202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23708-2026</t>
        </is>
      </c>
      <c r="B629" s="1" t="n">
        <v>46164</v>
      </c>
      <c r="C629" s="1" t="n">
        <v>46202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23829-2026</t>
        </is>
      </c>
      <c r="B630" s="1" t="n">
        <v>46166</v>
      </c>
      <c r="C630" s="1" t="n">
        <v>46202</v>
      </c>
      <c r="D630" t="inlineStr">
        <is>
          <t>HALLANDS LÄN</t>
        </is>
      </c>
      <c r="E630" t="inlineStr">
        <is>
          <t>FALKENBERG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18477-2026</t>
        </is>
      </c>
      <c r="B631" s="1" t="n">
        <v>46127</v>
      </c>
      <c r="C631" s="1" t="n">
        <v>46202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24133-2026</t>
        </is>
      </c>
      <c r="B632" s="1" t="n">
        <v>46168</v>
      </c>
      <c r="C632" s="1" t="n">
        <v>46202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24804-2026</t>
        </is>
      </c>
      <c r="B633" s="1" t="n">
        <v>46172</v>
      </c>
      <c r="C633" s="1" t="n">
        <v>46202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41891-2024</t>
        </is>
      </c>
      <c r="B634" s="1" t="n">
        <v>45561</v>
      </c>
      <c r="C634" s="1" t="n">
        <v>46202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30603-2025</t>
        </is>
      </c>
      <c r="B635" s="1" t="n">
        <v>45831</v>
      </c>
      <c r="C635" s="1" t="n">
        <v>46202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8406-2025</t>
        </is>
      </c>
      <c r="B636" s="1" t="n">
        <v>45709</v>
      </c>
      <c r="C636" s="1" t="n">
        <v>46202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35498-2025</t>
        </is>
      </c>
      <c r="B637" s="1" t="n">
        <v>45856</v>
      </c>
      <c r="C637" s="1" t="n">
        <v>46202</v>
      </c>
      <c r="D637" t="inlineStr">
        <is>
          <t>HALLANDS LÄN</t>
        </is>
      </c>
      <c r="E637" t="inlineStr">
        <is>
          <t>FALKENBERG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25859-2026</t>
        </is>
      </c>
      <c r="B638" s="1" t="n">
        <v>46178</v>
      </c>
      <c r="C638" s="1" t="n">
        <v>46202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19626-2025</t>
        </is>
      </c>
      <c r="B639" s="1" t="n">
        <v>45770</v>
      </c>
      <c r="C639" s="1" t="n">
        <v>46202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33786-2025</t>
        </is>
      </c>
      <c r="B640" s="1" t="n">
        <v>45842</v>
      </c>
      <c r="C640" s="1" t="n">
        <v>46202</v>
      </c>
      <c r="D640" t="inlineStr">
        <is>
          <t>HALLANDS LÄN</t>
        </is>
      </c>
      <c r="E640" t="inlineStr">
        <is>
          <t>FALKENBERG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19060-2025</t>
        </is>
      </c>
      <c r="B641" s="1" t="n">
        <v>45764</v>
      </c>
      <c r="C641" s="1" t="n">
        <v>46202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13621-2024</t>
        </is>
      </c>
      <c r="B642" s="1" t="n">
        <v>45390</v>
      </c>
      <c r="C642" s="1" t="n">
        <v>46202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27036-2025</t>
        </is>
      </c>
      <c r="B643" s="1" t="n">
        <v>45811</v>
      </c>
      <c r="C643" s="1" t="n">
        <v>46202</v>
      </c>
      <c r="D643" t="inlineStr">
        <is>
          <t>HALLANDS LÄN</t>
        </is>
      </c>
      <c r="E643" t="inlineStr">
        <is>
          <t>FALKENBERG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26262-2026</t>
        </is>
      </c>
      <c r="B644" s="1" t="n">
        <v>46182</v>
      </c>
      <c r="C644" s="1" t="n">
        <v>46202</v>
      </c>
      <c r="D644" t="inlineStr">
        <is>
          <t>HALLANDS LÄN</t>
        </is>
      </c>
      <c r="E644" t="inlineStr">
        <is>
          <t>FALKENBERG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26368-2026</t>
        </is>
      </c>
      <c r="B645" s="1" t="n">
        <v>46182</v>
      </c>
      <c r="C645" s="1" t="n">
        <v>46202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20912-2026</t>
        </is>
      </c>
      <c r="B646" s="1" t="n">
        <v>46142</v>
      </c>
      <c r="C646" s="1" t="n">
        <v>46202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26697-2026</t>
        </is>
      </c>
      <c r="B647" s="1" t="n">
        <v>46184</v>
      </c>
      <c r="C647" s="1" t="n">
        <v>46202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21008-2026</t>
        </is>
      </c>
      <c r="B648" s="1" t="n">
        <v>46142</v>
      </c>
      <c r="C648" s="1" t="n">
        <v>46202</v>
      </c>
      <c r="D648" t="inlineStr">
        <is>
          <t>HALLANDS LÄN</t>
        </is>
      </c>
      <c r="E648" t="inlineStr">
        <is>
          <t>FALKENBERG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24480-2026</t>
        </is>
      </c>
      <c r="B649" s="1" t="n">
        <v>46170</v>
      </c>
      <c r="C649" s="1" t="n">
        <v>46202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26770-2026</t>
        </is>
      </c>
      <c r="B650" s="1" t="n">
        <v>46184</v>
      </c>
      <c r="C650" s="1" t="n">
        <v>46202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23394-2026</t>
        </is>
      </c>
      <c r="B651" s="1" t="n">
        <v>46162</v>
      </c>
      <c r="C651" s="1" t="n">
        <v>46202</v>
      </c>
      <c r="D651" t="inlineStr">
        <is>
          <t>HALLANDS LÄN</t>
        </is>
      </c>
      <c r="E651" t="inlineStr">
        <is>
          <t>FALKENBERG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28285-2026</t>
        </is>
      </c>
      <c r="B652" s="1" t="n">
        <v>46196</v>
      </c>
      <c r="C652" s="1" t="n">
        <v>46202</v>
      </c>
      <c r="D652" t="inlineStr">
        <is>
          <t>HALLANDS LÄN</t>
        </is>
      </c>
      <c r="E652" t="inlineStr">
        <is>
          <t>FALKENBERG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53478-2025</t>
        </is>
      </c>
      <c r="B653" s="1" t="n">
        <v>45959</v>
      </c>
      <c r="C653" s="1" t="n">
        <v>46202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53411-2025</t>
        </is>
      </c>
      <c r="B654" s="1" t="n">
        <v>45959</v>
      </c>
      <c r="C654" s="1" t="n">
        <v>46202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58533-2024</t>
        </is>
      </c>
      <c r="B655" s="1" t="n">
        <v>45635</v>
      </c>
      <c r="C655" s="1" t="n">
        <v>46202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48200-2025</t>
        </is>
      </c>
      <c r="B656" s="1" t="n">
        <v>45933</v>
      </c>
      <c r="C656" s="1" t="n">
        <v>46202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27545-2026</t>
        </is>
      </c>
      <c r="B657" s="1" t="n">
        <v>46190</v>
      </c>
      <c r="C657" s="1" t="n">
        <v>46202</v>
      </c>
      <c r="D657" t="inlineStr">
        <is>
          <t>HALLANDS LÄN</t>
        </is>
      </c>
      <c r="E657" t="inlineStr">
        <is>
          <t>FALKENBERG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2026-06-29T00:57:59Z</dcterms:created>
  <dcterms:modified xmlns:dcterms="http://purl.org/dc/terms/" xmlns:xsi="http://www.w3.org/2001/XMLSchema-instance" xsi:type="dcterms:W3CDTF">2026-06-29T00:58:00Z</dcterms:modified>
</cp:coreProperties>
</file>