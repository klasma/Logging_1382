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46319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46319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46319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46319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46319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46319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46319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46319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46319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46319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46319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46319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46319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46319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46319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46319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46319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46319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41802-2024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46319</v>
      </c>
      <c r="F30" t="inlineStr">
        <is>
          <t>HALLANDS LÄN</t>
        </is>
      </c>
      <c r="G30" t="inlineStr">
        <is>
          <t>FALKENBERG</t>
        </is>
      </c>
      <c r="I30" t="n">
        <v>1.6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HYPERLINK("https://klasma.github.io/Logging_1382/artfynd/A 41802-2024 artfynd.xlsx", "A 41802-2024")</f>
        <v/>
      </c>
      <c r="X30">
        <f>HYPERLINK("https://klasma.github.io/Logging_1382/kartor/A 41802-2024 karta.png", "A 41802-2024")</f>
        <v/>
      </c>
      <c r="Y30">
        <f>HYPERLINK("https://klasma.github.io/Logging_1382/kartor_geotiff/A 41802-2024 georefererad karta.tif", "A 41802-2024")</f>
        <v/>
      </c>
      <c r="AA30">
        <f>HYPERLINK("https://klasma.github.io/Logging_1382/klagomål/A 41802-2024 FSC-klagomål.docx", "A 41802-2024")</f>
        <v/>
      </c>
      <c r="AB30">
        <f>HYPERLINK("https://klasma.github.io/Logging_1382/klagomålsmail/A 41802-2024 FSC-klagomål mail.docx", "A 41802-2024")</f>
        <v/>
      </c>
      <c r="AC30">
        <f>HYPERLINK("https://klasma.github.io/Logging_1382/tillsyn/A 41802-2024 tillsynsbegäran.docx", "A 41802-2024")</f>
        <v/>
      </c>
      <c r="AD30">
        <f>HYPERLINK("https://klasma.github.io/Logging_1382/tillsynsmail/A 41802-2024 tillsynsbegäran mail.docx", "A 41802-2024")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46319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46319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46319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46319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46319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33663-2026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46248</v>
      </c>
      <c r="E36" s="1" t="n">
        <v>46319</v>
      </c>
      <c r="F36" t="inlineStr">
        <is>
          <t>HALLANDS LÄN</t>
        </is>
      </c>
      <c r="G36" t="inlineStr">
        <is>
          <t>FALKENBERG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HYPERLINK("https://klasma.github.io/Logging_1382/artfynd/A 33663-2026 artfynd.xlsx", "A 33663-2026")</f>
        <v/>
      </c>
      <c r="X36">
        <f>HYPERLINK("https://klasma.github.io/Logging_1382/kartor/A 33663-2026 karta.png", "A 33663-2026")</f>
        <v/>
      </c>
      <c r="Y36">
        <f>HYPERLINK("https://klasma.github.io/Logging_1382/kartor_geotiff/A 33663-2026 georefererad karta.tif", "A 33663-2026")</f>
        <v/>
      </c>
      <c r="AA36">
        <f>HYPERLINK("https://klasma.github.io/Logging_1382/klagomål/A 33663-2026 FSC-klagomål.docx", "A 33663-2026")</f>
        <v/>
      </c>
      <c r="AB36">
        <f>HYPERLINK("https://klasma.github.io/Logging_1382/klagomålsmail/A 33663-2026 FSC-klagomål mail.docx", "A 33663-2026")</f>
        <v/>
      </c>
      <c r="AC36">
        <f>HYPERLINK("https://klasma.github.io/Logging_1382/tillsyn/A 33663-2026 tillsynsbegäran.docx", "A 33663-2026")</f>
        <v/>
      </c>
      <c r="AD36">
        <f>HYPERLINK("https://klasma.github.io/Logging_1382/tillsynsmail/A 33663-2026 tillsynsbegäran mail.docx", "A 33663-2026")</f>
        <v/>
      </c>
    </row>
    <row r="37" ht="15" customHeight="1">
      <c r="A37" t="inlineStr">
        <is>
          <t>A 3062-2023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44946</v>
      </c>
      <c r="E37" s="1" t="n">
        <v>46319</v>
      </c>
      <c r="F37" t="inlineStr">
        <is>
          <t>HALLANDS LÄN</t>
        </is>
      </c>
      <c r="G37" t="inlineStr">
        <is>
          <t>FALKENBERG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HYPERLINK("https://klasma.github.io/Logging_1382/artfynd/A 3062-2023 artfynd.xlsx", "A 3062-2023")</f>
        <v/>
      </c>
      <c r="X37">
        <f>HYPERLINK("https://klasma.github.io/Logging_1382/kartor/A 3062-2023 karta.png", "A 3062-2023")</f>
        <v/>
      </c>
      <c r="Y37">
        <f>HYPERLINK("https://klasma.github.io/Logging_1382/kartor_geotiff/A 3062-2023 georefererad karta.tif", "A 3062-2023")</f>
        <v/>
      </c>
      <c r="AA37">
        <f>HYPERLINK("https://klasma.github.io/Logging_1382/klagomål/A 3062-2023 FSC-klagomål.docx", "A 3062-2023")</f>
        <v/>
      </c>
      <c r="AB37">
        <f>HYPERLINK("https://klasma.github.io/Logging_1382/klagomålsmail/A 3062-2023 FSC-klagomål mail.docx", "A 3062-2023")</f>
        <v/>
      </c>
      <c r="AC37">
        <f>HYPERLINK("https://klasma.github.io/Logging_1382/tillsyn/A 3062-2023 tillsynsbegäran.docx", "A 3062-2023")</f>
        <v/>
      </c>
      <c r="AD37">
        <f>HYPERLINK("https://klasma.github.io/Logging_1382/tillsynsmail/A 3062-2023 tillsynsbegäran mail.docx", "A 3062-2023")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46319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8483-2024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46319</v>
      </c>
      <c r="F39" t="inlineStr">
        <is>
          <t>HALLANDS LÄN</t>
        </is>
      </c>
      <c r="G39" t="inlineStr">
        <is>
          <t>FALKENBERG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8483-2024 artfynd.xlsx", "A 8483-2024")</f>
        <v/>
      </c>
      <c r="X39">
        <f>HYPERLINK("https://klasma.github.io/Logging_1382/kartor/A 8483-2024 karta.png", "A 8483-2024")</f>
        <v/>
      </c>
      <c r="Y39">
        <f>HYPERLINK("https://klasma.github.io/Logging_1382/kartor_geotiff/A 8483-2024 georefererad karta.tif", "A 8483-2024")</f>
        <v/>
      </c>
      <c r="AA39">
        <f>HYPERLINK("https://klasma.github.io/Logging_1382/klagomål/A 8483-2024 FSC-klagomål.docx", "A 8483-2024")</f>
        <v/>
      </c>
      <c r="AB39">
        <f>HYPERLINK("https://klasma.github.io/Logging_1382/klagomålsmail/A 8483-2024 FSC-klagomål mail.docx", "A 8483-2024")</f>
        <v/>
      </c>
      <c r="AC39">
        <f>HYPERLINK("https://klasma.github.io/Logging_1382/tillsyn/A 8483-2024 tillsynsbegäran.docx", "A 8483-2024")</f>
        <v/>
      </c>
      <c r="AD39">
        <f>HYPERLINK("https://klasma.github.io/Logging_1382/tillsynsmail/A 8483-2024 tillsynsbegäran mail.docx", "A 8483-2024")</f>
        <v/>
      </c>
      <c r="AE39">
        <f>HYPERLINK("https://klasma.github.io/Logging_1382/fåglar/A 8483-2024 prioriterade fågelarter.docx", "A 8483-2024")</f>
        <v/>
      </c>
    </row>
    <row r="40" ht="15" customHeight="1">
      <c r="A40" t="inlineStr">
        <is>
          <t>A 50078-2024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46319</v>
      </c>
      <c r="F40" t="inlineStr">
        <is>
          <t>HALLANDS LÄN</t>
        </is>
      </c>
      <c r="G40" t="inlineStr">
        <is>
          <t>FALKENBERG</t>
        </is>
      </c>
      <c r="I40" t="n">
        <v>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Slåttergubbe</t>
        </is>
      </c>
      <c r="W40">
        <f>HYPERLINK("https://klasma.github.io/Logging_1382/artfynd/A 50078-2024 artfynd.xlsx", "A 50078-2024")</f>
        <v/>
      </c>
      <c r="X40">
        <f>HYPERLINK("https://klasma.github.io/Logging_1382/kartor/A 50078-2024 karta.png", "A 50078-2024")</f>
        <v/>
      </c>
      <c r="Y40">
        <f>HYPERLINK("https://klasma.github.io/Logging_1382/kartor_geotiff/A 50078-2024 georefererad karta.tif", "A 50078-2024")</f>
        <v/>
      </c>
      <c r="AA40">
        <f>HYPERLINK("https://klasma.github.io/Logging_1382/klagomål/A 50078-2024 FSC-klagomål.docx", "A 50078-2024")</f>
        <v/>
      </c>
      <c r="AB40">
        <f>HYPERLINK("https://klasma.github.io/Logging_1382/klagomålsmail/A 50078-2024 FSC-klagomål mail.docx", "A 50078-2024")</f>
        <v/>
      </c>
      <c r="AC40">
        <f>HYPERLINK("https://klasma.github.io/Logging_1382/tillsyn/A 50078-2024 tillsynsbegäran.docx", "A 50078-2024")</f>
        <v/>
      </c>
      <c r="AD40">
        <f>HYPERLINK("https://klasma.github.io/Logging_1382/tillsynsmail/A 50078-2024 tillsynsbegäran mail.docx", "A 50078-2024")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46319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46319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58534-2022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46319</v>
      </c>
      <c r="F43" t="inlineStr">
        <is>
          <t>HALLANDS LÄN</t>
        </is>
      </c>
      <c r="G43" t="inlineStr">
        <is>
          <t>FALKENBERG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58534-2022 artfynd.xlsx", "A 58534-2022")</f>
        <v/>
      </c>
      <c r="X43">
        <f>HYPERLINK("https://klasma.github.io/Logging_1382/kartor/A 58534-2022 karta.png", "A 58534-2022")</f>
        <v/>
      </c>
      <c r="Y43">
        <f>HYPERLINK("https://klasma.github.io/Logging_1382/kartor_geotiff/A 58534-2022 georefererad karta.tif", "A 58534-2022")</f>
        <v/>
      </c>
      <c r="AA43">
        <f>HYPERLINK("https://klasma.github.io/Logging_1382/klagomål/A 58534-2022 FSC-klagomål.docx", "A 58534-2022")</f>
        <v/>
      </c>
      <c r="AB43">
        <f>HYPERLINK("https://klasma.github.io/Logging_1382/klagomålsmail/A 58534-2022 FSC-klagomål mail.docx", "A 58534-2022")</f>
        <v/>
      </c>
      <c r="AC43">
        <f>HYPERLINK("https://klasma.github.io/Logging_1382/tillsyn/A 58534-2022 tillsynsbegäran.docx", "A 58534-2022")</f>
        <v/>
      </c>
      <c r="AD43">
        <f>HYPERLINK("https://klasma.github.io/Logging_1382/tillsynsmail/A 58534-2022 tillsynsbegäran mail.docx", "A 58534-2022")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46319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46319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46319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46319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46319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46319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46319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46319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46319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46319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46319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46319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46319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46319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46319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46319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46319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46319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46319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46319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46319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46319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46319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46319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46319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46319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46319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46319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46319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46319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46319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46319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46319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46319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46319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46319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46319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46319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46319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46319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46319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46319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46319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46319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46319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46319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46319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46319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46319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46319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46319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46319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60909-2022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44908</v>
      </c>
      <c r="E96" s="1" t="n">
        <v>46319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46319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46319</v>
      </c>
      <c r="F98" t="inlineStr">
        <is>
          <t>HALLANDS LÄN</t>
        </is>
      </c>
      <c r="G98" t="inlineStr">
        <is>
          <t>FALKENBERG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46319</v>
      </c>
      <c r="F99" t="inlineStr">
        <is>
          <t>HALLANDS LÄN</t>
        </is>
      </c>
      <c r="G99" t="inlineStr">
        <is>
          <t>FALKENBERG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46319</v>
      </c>
      <c r="F100" t="inlineStr">
        <is>
          <t>HALLANDS LÄN</t>
        </is>
      </c>
      <c r="G100" t="inlineStr">
        <is>
          <t>FALKENBERG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46319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46319</v>
      </c>
      <c r="F102" t="inlineStr">
        <is>
          <t>HALLANDS LÄN</t>
        </is>
      </c>
      <c r="G102" t="inlineStr">
        <is>
          <t>FALKENBERG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46319</v>
      </c>
      <c r="F103" t="inlineStr">
        <is>
          <t>HALLANDS LÄN</t>
        </is>
      </c>
      <c r="G103" t="inlineStr">
        <is>
          <t>FALKENBERG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46319</v>
      </c>
      <c r="F104" t="inlineStr">
        <is>
          <t>HALLANDS LÄN</t>
        </is>
      </c>
      <c r="G104" t="inlineStr">
        <is>
          <t>FALKENBERG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46319</v>
      </c>
      <c r="F105" t="inlineStr">
        <is>
          <t>HALLANDS LÄN</t>
        </is>
      </c>
      <c r="G105" t="inlineStr">
        <is>
          <t>FALKENBERG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46319</v>
      </c>
      <c r="F106" t="inlineStr">
        <is>
          <t>HALLANDS LÄN</t>
        </is>
      </c>
      <c r="G106" t="inlineStr">
        <is>
          <t>FALKENBERG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45345</v>
      </c>
      <c r="E107" s="1" t="n">
        <v>46319</v>
      </c>
      <c r="F107" t="inlineStr">
        <is>
          <t>HALLANDS LÄN</t>
        </is>
      </c>
      <c r="G107" t="inlineStr">
        <is>
          <t>FALKENBERG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46319</v>
      </c>
      <c r="F108" t="inlineStr">
        <is>
          <t>HALLANDS LÄN</t>
        </is>
      </c>
      <c r="G108" t="inlineStr">
        <is>
          <t>FALKENBERG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46319</v>
      </c>
      <c r="F109" t="inlineStr">
        <is>
          <t>HALLANDS LÄN</t>
        </is>
      </c>
      <c r="G109" t="inlineStr">
        <is>
          <t>FALKENBERG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19565-2025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46319</v>
      </c>
      <c r="F110" t="inlineStr">
        <is>
          <t>HALLANDS LÄN</t>
        </is>
      </c>
      <c r="G110" t="inlineStr">
        <is>
          <t>FALKENBERG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46319</v>
      </c>
      <c r="F111" t="inlineStr">
        <is>
          <t>HALLANDS LÄN</t>
        </is>
      </c>
      <c r="G111" t="inlineStr">
        <is>
          <t>FALKENBERG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46319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46319</v>
      </c>
      <c r="F113" t="inlineStr">
        <is>
          <t>HALLANDS LÄN</t>
        </is>
      </c>
      <c r="G113" t="inlineStr">
        <is>
          <t>FALKENBERG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46319</v>
      </c>
      <c r="F114" t="inlineStr">
        <is>
          <t>HALLANDS LÄN</t>
        </is>
      </c>
      <c r="G114" t="inlineStr">
        <is>
          <t>FALKENBERG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46319</v>
      </c>
      <c r="F115" t="inlineStr">
        <is>
          <t>HALLANDS LÄN</t>
        </is>
      </c>
      <c r="G115" t="inlineStr">
        <is>
          <t>FALKENBERG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46319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46319</v>
      </c>
      <c r="F117" t="inlineStr">
        <is>
          <t>HALLANDS LÄN</t>
        </is>
      </c>
      <c r="G117" t="inlineStr">
        <is>
          <t>FALKENBERG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46319</v>
      </c>
      <c r="F118" t="inlineStr">
        <is>
          <t>HALLANDS LÄN</t>
        </is>
      </c>
      <c r="G118" t="inlineStr">
        <is>
          <t>FALKENBERG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46319</v>
      </c>
      <c r="F119" t="inlineStr">
        <is>
          <t>HALLANDS LÄN</t>
        </is>
      </c>
      <c r="G119" t="inlineStr">
        <is>
          <t>FALKENBERG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46319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45566</v>
      </c>
      <c r="E121" s="1" t="n">
        <v>46319</v>
      </c>
      <c r="F121" t="inlineStr">
        <is>
          <t>HALLANDS LÄN</t>
        </is>
      </c>
      <c r="G121" t="inlineStr">
        <is>
          <t>FALKENBERG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46319</v>
      </c>
      <c r="F122" t="inlineStr">
        <is>
          <t>HALLANDS LÄN</t>
        </is>
      </c>
      <c r="G122" t="inlineStr">
        <is>
          <t>FALKENBERG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66135-2021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44517</v>
      </c>
      <c r="E123" s="1" t="n">
        <v>46319</v>
      </c>
      <c r="F123" t="inlineStr">
        <is>
          <t>HALLANDS LÄN</t>
        </is>
      </c>
      <c r="G123" t="inlineStr">
        <is>
          <t>FALKENBERG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45188</v>
      </c>
      <c r="E124" s="1" t="n">
        <v>46319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46319</v>
      </c>
      <c r="F125" t="inlineStr">
        <is>
          <t>HALLANDS LÄN</t>
        </is>
      </c>
      <c r="G125" t="inlineStr">
        <is>
          <t>FALKENBERG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46319</v>
      </c>
      <c r="F126" t="inlineStr">
        <is>
          <t>HALLANDS LÄN</t>
        </is>
      </c>
      <c r="G126" t="inlineStr">
        <is>
          <t>FALKENBERG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45391</v>
      </c>
      <c r="E127" s="1" t="n">
        <v>46319</v>
      </c>
      <c r="F127" t="inlineStr">
        <is>
          <t>HALLANDS LÄN</t>
        </is>
      </c>
      <c r="G127" t="inlineStr">
        <is>
          <t>FALKENBERG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45901</v>
      </c>
      <c r="E128" s="1" t="n">
        <v>46319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45901</v>
      </c>
      <c r="E129" s="1" t="n">
        <v>46319</v>
      </c>
      <c r="F129" t="inlineStr">
        <is>
          <t>HALLANDS LÄN</t>
        </is>
      </c>
      <c r="G129" t="inlineStr">
        <is>
          <t>FALKENBERG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46319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45381</v>
      </c>
      <c r="E131" s="1" t="n">
        <v>46319</v>
      </c>
      <c r="F131" t="inlineStr">
        <is>
          <t>HALLANDS LÄN</t>
        </is>
      </c>
      <c r="G131" t="inlineStr">
        <is>
          <t>FALKENBERG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46319</v>
      </c>
      <c r="F132" t="inlineStr">
        <is>
          <t>HALLANDS LÄN</t>
        </is>
      </c>
      <c r="G132" t="inlineStr">
        <is>
          <t>FALKENBERG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42678-2025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45908</v>
      </c>
      <c r="E133" s="1" t="n">
        <v>46319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46319</v>
      </c>
      <c r="F134" t="inlineStr">
        <is>
          <t>HALLANDS LÄN</t>
        </is>
      </c>
      <c r="G134" t="inlineStr">
        <is>
          <t>FALKENBERG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46319</v>
      </c>
      <c r="F135" t="inlineStr">
        <is>
          <t>HALLANDS LÄN</t>
        </is>
      </c>
      <c r="G135" t="inlineStr">
        <is>
          <t>FALKENBERG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23394-2026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46319</v>
      </c>
      <c r="F136" t="inlineStr">
        <is>
          <t>HALLANDS LÄN</t>
        </is>
      </c>
      <c r="G136" t="inlineStr">
        <is>
          <t>FALKENBERG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46319</v>
      </c>
      <c r="F137" t="inlineStr">
        <is>
          <t>HALLANDS LÄN</t>
        </is>
      </c>
      <c r="G137" t="inlineStr">
        <is>
          <t>FALKENBERG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46319</v>
      </c>
      <c r="F138" t="inlineStr">
        <is>
          <t>HALLANDS LÄN</t>
        </is>
      </c>
      <c r="G138" t="inlineStr">
        <is>
          <t>FALKENBERG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46319</v>
      </c>
      <c r="F139" t="inlineStr">
        <is>
          <t>HALLANDS LÄN</t>
        </is>
      </c>
      <c r="G139" t="inlineStr">
        <is>
          <t>FALKENBERG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46319</v>
      </c>
      <c r="F140" t="inlineStr">
        <is>
          <t>HALLANDS LÄN</t>
        </is>
      </c>
      <c r="G140" t="inlineStr">
        <is>
          <t>FALKENBERG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46319</v>
      </c>
      <c r="F141" t="inlineStr">
        <is>
          <t>HALLANDS LÄN</t>
        </is>
      </c>
      <c r="G141" t="inlineStr">
        <is>
          <t>FALKENBERG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45914</v>
      </c>
      <c r="E142" s="1" t="n">
        <v>46319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46164</v>
      </c>
      <c r="E143" s="1" t="n">
        <v>46319</v>
      </c>
      <c r="F143" t="inlineStr">
        <is>
          <t>HALLANDS LÄN</t>
        </is>
      </c>
      <c r="G143" t="inlineStr">
        <is>
          <t>FALKENBERG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46164</v>
      </c>
      <c r="E144" s="1" t="n">
        <v>46319</v>
      </c>
      <c r="F144" t="inlineStr">
        <is>
          <t>HALLANDS LÄN</t>
        </is>
      </c>
      <c r="G144" t="inlineStr">
        <is>
          <t>FALKENBERG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46319</v>
      </c>
      <c r="F145" t="inlineStr">
        <is>
          <t>HALLANDS LÄN</t>
        </is>
      </c>
      <c r="G145" t="inlineStr">
        <is>
          <t>FALKENBERG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46164</v>
      </c>
      <c r="E146" s="1" t="n">
        <v>46319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46319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46319</v>
      </c>
      <c r="F148" t="inlineStr">
        <is>
          <t>HALLANDS LÄN</t>
        </is>
      </c>
      <c r="G148" t="inlineStr">
        <is>
          <t>FALKENBERG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46319</v>
      </c>
      <c r="F149" t="inlineStr">
        <is>
          <t>HALLANDS LÄN</t>
        </is>
      </c>
      <c r="G149" t="inlineStr">
        <is>
          <t>FALKENBERG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46319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45923</v>
      </c>
      <c r="E151" s="1" t="n">
        <v>46319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46166</v>
      </c>
      <c r="E152" s="1" t="n">
        <v>46319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46319</v>
      </c>
      <c r="F153" t="inlineStr">
        <is>
          <t>HALLANDS LÄN</t>
        </is>
      </c>
      <c r="G153" t="inlineStr">
        <is>
          <t>FALKENBERG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46319</v>
      </c>
      <c r="F154" t="inlineStr">
        <is>
          <t>HALLANDS LÄN</t>
        </is>
      </c>
      <c r="G154" t="inlineStr">
        <is>
          <t>FALKENBERG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46319</v>
      </c>
      <c r="F155" t="inlineStr">
        <is>
          <t>HALLANDS LÄN</t>
        </is>
      </c>
      <c r="G155" t="inlineStr">
        <is>
          <t>FALKENBERG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46319</v>
      </c>
      <c r="F156" t="inlineStr">
        <is>
          <t>HALLANDS LÄN</t>
        </is>
      </c>
      <c r="G156" t="inlineStr">
        <is>
          <t>FALKENBERG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46319</v>
      </c>
      <c r="F157" t="inlineStr">
        <is>
          <t>HALLANDS LÄN</t>
        </is>
      </c>
      <c r="G157" t="inlineStr">
        <is>
          <t>FALKENBERG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46319</v>
      </c>
      <c r="F158" t="inlineStr">
        <is>
          <t>HALLANDS LÄN</t>
        </is>
      </c>
      <c r="G158" t="inlineStr">
        <is>
          <t>FALKENBERG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46319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46319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46168</v>
      </c>
      <c r="E161" s="1" t="n">
        <v>46319</v>
      </c>
      <c r="F161" t="inlineStr">
        <is>
          <t>HALLANDS LÄN</t>
        </is>
      </c>
      <c r="G161" t="inlineStr">
        <is>
          <t>FALKENBERG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46172</v>
      </c>
      <c r="E162" s="1" t="n">
        <v>46319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46319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46319</v>
      </c>
      <c r="F164" t="inlineStr">
        <is>
          <t>HALLANDS LÄN</t>
        </is>
      </c>
      <c r="G164" t="inlineStr">
        <is>
          <t>FALKENBERG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46319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46319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38462-2024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45546</v>
      </c>
      <c r="E167" s="1" t="n">
        <v>46319</v>
      </c>
      <c r="F167" t="inlineStr">
        <is>
          <t>HALLANDS LÄN</t>
        </is>
      </c>
      <c r="G167" t="inlineStr">
        <is>
          <t>FALKENBERG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46319</v>
      </c>
      <c r="F168" t="inlineStr">
        <is>
          <t>HALLANDS LÄN</t>
        </is>
      </c>
      <c r="G168" t="inlineStr">
        <is>
          <t>FALKENBERG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46319</v>
      </c>
      <c r="F169" t="inlineStr">
        <is>
          <t>HALLANDS LÄN</t>
        </is>
      </c>
      <c r="G169" t="inlineStr">
        <is>
          <t>FALKENBERG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46319</v>
      </c>
      <c r="F170" t="inlineStr">
        <is>
          <t>HALLANDS LÄN</t>
        </is>
      </c>
      <c r="G170" t="inlineStr">
        <is>
          <t>FALKENBERG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46319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46319</v>
      </c>
      <c r="F172" t="inlineStr">
        <is>
          <t>HALLANDS LÄN</t>
        </is>
      </c>
      <c r="G172" t="inlineStr">
        <is>
          <t>FALKENBERG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45323</v>
      </c>
      <c r="E173" s="1" t="n">
        <v>46319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46319</v>
      </c>
      <c r="F174" t="inlineStr">
        <is>
          <t>HALLANDS LÄN</t>
        </is>
      </c>
      <c r="G174" t="inlineStr">
        <is>
          <t>FALKENBERG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46319</v>
      </c>
      <c r="F175" t="inlineStr">
        <is>
          <t>HALLANDS LÄN</t>
        </is>
      </c>
      <c r="G175" t="inlineStr">
        <is>
          <t>FALKENBERG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46319</v>
      </c>
      <c r="F176" t="inlineStr">
        <is>
          <t>HALLANDS LÄN</t>
        </is>
      </c>
      <c r="G176" t="inlineStr">
        <is>
          <t>FALKENBERG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46319</v>
      </c>
      <c r="F177" t="inlineStr">
        <is>
          <t>HALLANDS LÄN</t>
        </is>
      </c>
      <c r="G177" t="inlineStr">
        <is>
          <t>FALKENBERG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46319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46319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46319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46319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46319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46319</v>
      </c>
      <c r="F183" t="inlineStr">
        <is>
          <t>HALLANDS LÄN</t>
        </is>
      </c>
      <c r="G183" t="inlineStr">
        <is>
          <t>FALKENBERG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46319</v>
      </c>
      <c r="F184" t="inlineStr">
        <is>
          <t>HALLANDS LÄN</t>
        </is>
      </c>
      <c r="G184" t="inlineStr">
        <is>
          <t>FALKENBERG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45229</v>
      </c>
      <c r="E185" s="1" t="n">
        <v>46319</v>
      </c>
      <c r="F185" t="inlineStr">
        <is>
          <t>HALLANDS LÄN</t>
        </is>
      </c>
      <c r="G185" t="inlineStr">
        <is>
          <t>FALKENBERG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46319</v>
      </c>
      <c r="F186" t="inlineStr">
        <is>
          <t>HALLANDS LÄN</t>
        </is>
      </c>
      <c r="G186" t="inlineStr">
        <is>
          <t>FALKENBERG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46319</v>
      </c>
      <c r="F187" t="inlineStr">
        <is>
          <t>HALLANDS LÄN</t>
        </is>
      </c>
      <c r="G187" t="inlineStr">
        <is>
          <t>FALKENBERG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46319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46319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45127</v>
      </c>
      <c r="E190" s="1" t="n">
        <v>46319</v>
      </c>
      <c r="F190" t="inlineStr">
        <is>
          <t>HALLANDS LÄN</t>
        </is>
      </c>
      <c r="G190" t="inlineStr">
        <is>
          <t>FALKENBERG</t>
        </is>
      </c>
      <c r="H190" t="inlineStr">
        <is>
          <t>Kommuner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46319</v>
      </c>
      <c r="F191" t="inlineStr">
        <is>
          <t>HALLANDS LÄN</t>
        </is>
      </c>
      <c r="G191" t="inlineStr">
        <is>
          <t>FALKENBERG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46319</v>
      </c>
      <c r="F192" t="inlineStr">
        <is>
          <t>HALLANDS LÄN</t>
        </is>
      </c>
      <c r="G192" t="inlineStr">
        <is>
          <t>FALKENBERG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44985</v>
      </c>
      <c r="E193" s="1" t="n">
        <v>46319</v>
      </c>
      <c r="F193" t="inlineStr">
        <is>
          <t>HALLANDS LÄN</t>
        </is>
      </c>
      <c r="G193" t="inlineStr">
        <is>
          <t>FALKENBERG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46319</v>
      </c>
      <c r="F194" t="inlineStr">
        <is>
          <t>HALLANDS LÄN</t>
        </is>
      </c>
      <c r="G194" t="inlineStr">
        <is>
          <t>FALKENBERG</t>
        </is>
      </c>
      <c r="H194" t="inlineStr">
        <is>
          <t>Kyrkan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46319</v>
      </c>
      <c r="F195" t="inlineStr">
        <is>
          <t>HALLANDS LÄN</t>
        </is>
      </c>
      <c r="G195" t="inlineStr">
        <is>
          <t>FALKENBERG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46319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46319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46319</v>
      </c>
      <c r="F198" t="inlineStr">
        <is>
          <t>HALLANDS LÄN</t>
        </is>
      </c>
      <c r="G198" t="inlineStr">
        <is>
          <t>FALKENBERG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46319</v>
      </c>
      <c r="F199" t="inlineStr">
        <is>
          <t>HALLANDS LÄN</t>
        </is>
      </c>
      <c r="G199" t="inlineStr">
        <is>
          <t>FALKENBERG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46319</v>
      </c>
      <c r="F200" t="inlineStr">
        <is>
          <t>HALLANDS LÄN</t>
        </is>
      </c>
      <c r="G200" t="inlineStr">
        <is>
          <t>FALKENBERG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18813-2023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45044</v>
      </c>
      <c r="E201" s="1" t="n">
        <v>46319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46319</v>
      </c>
      <c r="F202" t="inlineStr">
        <is>
          <t>HALLANDS LÄN</t>
        </is>
      </c>
      <c r="G202" t="inlineStr">
        <is>
          <t>FALKENBERG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46319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44631</v>
      </c>
      <c r="E204" s="1" t="n">
        <v>46319</v>
      </c>
      <c r="F204" t="inlineStr">
        <is>
          <t>HALLANDS LÄN</t>
        </is>
      </c>
      <c r="G204" t="inlineStr">
        <is>
          <t>FALKENBERG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46319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46319</v>
      </c>
      <c r="F206" t="inlineStr">
        <is>
          <t>HALLANDS LÄN</t>
        </is>
      </c>
      <c r="G206" t="inlineStr">
        <is>
          <t>FALKENBERG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46319</v>
      </c>
      <c r="F207" t="inlineStr">
        <is>
          <t>HALLANDS LÄN</t>
        </is>
      </c>
      <c r="G207" t="inlineStr">
        <is>
          <t>FALKENBERG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44689</v>
      </c>
      <c r="E208" s="1" t="n">
        <v>46319</v>
      </c>
      <c r="F208" t="inlineStr">
        <is>
          <t>HALLANDS LÄN</t>
        </is>
      </c>
      <c r="G208" t="inlineStr">
        <is>
          <t>FALKENBERG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46319</v>
      </c>
      <c r="F209" t="inlineStr">
        <is>
          <t>HALLANDS LÄN</t>
        </is>
      </c>
      <c r="G209" t="inlineStr">
        <is>
          <t>FALKENBERG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46319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46319</v>
      </c>
      <c r="F211" t="inlineStr">
        <is>
          <t>HALLANDS LÄN</t>
        </is>
      </c>
      <c r="G211" t="inlineStr">
        <is>
          <t>FALKENBERG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46319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46319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46319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46319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46319</v>
      </c>
      <c r="F216" t="inlineStr">
        <is>
          <t>HALLANDS LÄN</t>
        </is>
      </c>
      <c r="G216" t="inlineStr">
        <is>
          <t>FALKENBERG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46319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46319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46319</v>
      </c>
      <c r="F219" t="inlineStr">
        <is>
          <t>HALLANDS LÄN</t>
        </is>
      </c>
      <c r="G219" t="inlineStr">
        <is>
          <t>FALKENBERG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46319</v>
      </c>
      <c r="F220" t="inlineStr">
        <is>
          <t>HALLANDS LÄN</t>
        </is>
      </c>
      <c r="G220" t="inlineStr">
        <is>
          <t>FALKENBERG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46319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46319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45960</v>
      </c>
      <c r="E223" s="1" t="n">
        <v>46319</v>
      </c>
      <c r="F223" t="inlineStr">
        <is>
          <t>HALLANDS LÄN</t>
        </is>
      </c>
      <c r="G223" t="inlineStr">
        <is>
          <t>FALKENBERG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46319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46319</v>
      </c>
      <c r="F225" t="inlineStr">
        <is>
          <t>HALLANDS LÄN</t>
        </is>
      </c>
      <c r="G225" t="inlineStr">
        <is>
          <t>FALKENBERG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46319</v>
      </c>
      <c r="F226" t="inlineStr">
        <is>
          <t>HALLANDS LÄN</t>
        </is>
      </c>
      <c r="G226" t="inlineStr">
        <is>
          <t>FALKENBERG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46319</v>
      </c>
      <c r="F227" t="inlineStr">
        <is>
          <t>HALLANDS LÄN</t>
        </is>
      </c>
      <c r="G227" t="inlineStr">
        <is>
          <t>FALKENBERG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46319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46319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46319</v>
      </c>
      <c r="F230" t="inlineStr">
        <is>
          <t>HALLANDS LÄN</t>
        </is>
      </c>
      <c r="G230" t="inlineStr">
        <is>
          <t>FALKENBERG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46319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46319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46319</v>
      </c>
      <c r="F233" t="inlineStr">
        <is>
          <t>HALLANDS LÄN</t>
        </is>
      </c>
      <c r="G233" t="inlineStr">
        <is>
          <t>FALKENBERG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46319</v>
      </c>
      <c r="F234" t="inlineStr">
        <is>
          <t>HALLANDS LÄN</t>
        </is>
      </c>
      <c r="G234" t="inlineStr">
        <is>
          <t>FALKENBERG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46319</v>
      </c>
      <c r="F235" t="inlineStr">
        <is>
          <t>HALLANDS LÄN</t>
        </is>
      </c>
      <c r="G235" t="inlineStr">
        <is>
          <t>FALKENBERG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45552</v>
      </c>
      <c r="E236" s="1" t="n">
        <v>46319</v>
      </c>
      <c r="F236" t="inlineStr">
        <is>
          <t>HALLANDS LÄN</t>
        </is>
      </c>
      <c r="G236" t="inlineStr">
        <is>
          <t>FALKENBERG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45351</v>
      </c>
      <c r="E237" s="1" t="n">
        <v>46319</v>
      </c>
      <c r="F237" t="inlineStr">
        <is>
          <t>HALLANDS LÄN</t>
        </is>
      </c>
      <c r="G237" t="inlineStr">
        <is>
          <t>FALKENBERG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55141-2025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45968</v>
      </c>
      <c r="E238" s="1" t="n">
        <v>46319</v>
      </c>
      <c r="F238" t="inlineStr">
        <is>
          <t>HALLANDS LÄN</t>
        </is>
      </c>
      <c r="G238" t="inlineStr">
        <is>
          <t>FALKENBERG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46319</v>
      </c>
      <c r="F239" t="inlineStr">
        <is>
          <t>HALLANDS LÄN</t>
        </is>
      </c>
      <c r="G239" t="inlineStr">
        <is>
          <t>FALKENBERG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46319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45968</v>
      </c>
      <c r="E241" s="1" t="n">
        <v>46319</v>
      </c>
      <c r="F241" t="inlineStr">
        <is>
          <t>HALLANDS LÄN</t>
        </is>
      </c>
      <c r="G241" t="inlineStr">
        <is>
          <t>FALKENBERG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46319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46319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46319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46319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46319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46319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46319</v>
      </c>
      <c r="F248" t="inlineStr">
        <is>
          <t>HALLANDS LÄN</t>
        </is>
      </c>
      <c r="G248" t="inlineStr">
        <is>
          <t>FALKENBERG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46319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46319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44986</v>
      </c>
      <c r="E251" s="1" t="n">
        <v>46319</v>
      </c>
      <c r="F251" t="inlineStr">
        <is>
          <t>HALLANDS LÄN</t>
        </is>
      </c>
      <c r="G251" t="inlineStr">
        <is>
          <t>FALKENBERG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46319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46319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46319</v>
      </c>
      <c r="F254" t="inlineStr">
        <is>
          <t>HALLANDS LÄN</t>
        </is>
      </c>
      <c r="G254" t="inlineStr">
        <is>
          <t>FALKENBERG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46319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46319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46319</v>
      </c>
      <c r="F257" t="inlineStr">
        <is>
          <t>HALLANDS LÄN</t>
        </is>
      </c>
      <c r="G257" t="inlineStr">
        <is>
          <t>FALKENBERG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46319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46200</v>
      </c>
      <c r="E259" s="1" t="n">
        <v>46319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46319</v>
      </c>
      <c r="F260" t="inlineStr">
        <is>
          <t>HALLANDS LÄN</t>
        </is>
      </c>
      <c r="G260" t="inlineStr">
        <is>
          <t>FALKENBERG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46319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46319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46319</v>
      </c>
      <c r="F263" t="inlineStr">
        <is>
          <t>HALLANDS LÄN</t>
        </is>
      </c>
      <c r="G263" t="inlineStr">
        <is>
          <t>FALKENBERG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46319</v>
      </c>
      <c r="F264" t="inlineStr">
        <is>
          <t>HALLANDS LÄN</t>
        </is>
      </c>
      <c r="G264" t="inlineStr">
        <is>
          <t>FALKENBERG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46319</v>
      </c>
      <c r="F265" t="inlineStr">
        <is>
          <t>HALLANDS LÄN</t>
        </is>
      </c>
      <c r="G265" t="inlineStr">
        <is>
          <t>FALKENBERG</t>
        </is>
      </c>
      <c r="H265" t="inlineStr">
        <is>
          <t>Bergvik skog väst AB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46319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46203</v>
      </c>
      <c r="E267" s="1" t="n">
        <v>46319</v>
      </c>
      <c r="F267" t="inlineStr">
        <is>
          <t>HALLANDS LÄN</t>
        </is>
      </c>
      <c r="G267" t="inlineStr">
        <is>
          <t>FALKENBERG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45323</v>
      </c>
      <c r="E268" s="1" t="n">
        <v>46319</v>
      </c>
      <c r="F268" t="inlineStr">
        <is>
          <t>HALLANDS LÄN</t>
        </is>
      </c>
      <c r="G268" t="inlineStr">
        <is>
          <t>FALKENBERG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44957</v>
      </c>
      <c r="E269" s="1" t="n">
        <v>46319</v>
      </c>
      <c r="F269" t="inlineStr">
        <is>
          <t>HALLANDS LÄN</t>
        </is>
      </c>
      <c r="G269" t="inlineStr">
        <is>
          <t>FALKENBERG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46319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44986</v>
      </c>
      <c r="E271" s="1" t="n">
        <v>46319</v>
      </c>
      <c r="F271" t="inlineStr">
        <is>
          <t>HALLANDS LÄN</t>
        </is>
      </c>
      <c r="G271" t="inlineStr">
        <is>
          <t>FALKENBERG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46319</v>
      </c>
      <c r="F272" t="inlineStr">
        <is>
          <t>HALLANDS LÄN</t>
        </is>
      </c>
      <c r="G272" t="inlineStr">
        <is>
          <t>FALKENBERG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46319</v>
      </c>
      <c r="F273" t="inlineStr">
        <is>
          <t>HALLANDS LÄN</t>
        </is>
      </c>
      <c r="G273" t="inlineStr">
        <is>
          <t>FALKENBERG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46319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46319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46319</v>
      </c>
      <c r="F276" t="inlineStr">
        <is>
          <t>HALLANDS LÄN</t>
        </is>
      </c>
      <c r="G276" t="inlineStr">
        <is>
          <t>FALKENBERG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30715-2026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46211</v>
      </c>
      <c r="E277" s="1" t="n">
        <v>46319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46319</v>
      </c>
      <c r="F278" t="inlineStr">
        <is>
          <t>HALLANDS LÄN</t>
        </is>
      </c>
      <c r="G278" t="inlineStr">
        <is>
          <t>FALKENBERG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45580</v>
      </c>
      <c r="E279" s="1" t="n">
        <v>46319</v>
      </c>
      <c r="F279" t="inlineStr">
        <is>
          <t>HALLANDS LÄN</t>
        </is>
      </c>
      <c r="G279" t="inlineStr">
        <is>
          <t>FALKENBERG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46319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46212</v>
      </c>
      <c r="E281" s="1" t="n">
        <v>46319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30790-2026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46212</v>
      </c>
      <c r="E282" s="1" t="n">
        <v>46319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46217</v>
      </c>
      <c r="E283" s="1" t="n">
        <v>46319</v>
      </c>
      <c r="F283" t="inlineStr">
        <is>
          <t>HALLANDS LÄN</t>
        </is>
      </c>
      <c r="G283" t="inlineStr">
        <is>
          <t>FALKENBERG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46319</v>
      </c>
      <c r="F284" t="inlineStr">
        <is>
          <t>HALLANDS LÄN</t>
        </is>
      </c>
      <c r="G284" t="inlineStr">
        <is>
          <t>FALKENBERG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46319</v>
      </c>
      <c r="F285" t="inlineStr">
        <is>
          <t>HALLANDS LÄN</t>
        </is>
      </c>
      <c r="G285" t="inlineStr">
        <is>
          <t>FALKENBERG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45300</v>
      </c>
      <c r="E286" s="1" t="n">
        <v>46319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44622</v>
      </c>
      <c r="E287" s="1" t="n">
        <v>46319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46319</v>
      </c>
      <c r="F288" t="inlineStr">
        <is>
          <t>HALLANDS LÄN</t>
        </is>
      </c>
      <c r="G288" t="inlineStr">
        <is>
          <t>FALKENBERG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46319</v>
      </c>
      <c r="F289" t="inlineStr">
        <is>
          <t>HALLANDS LÄN</t>
        </is>
      </c>
      <c r="G289" t="inlineStr">
        <is>
          <t>FALKENBERG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46319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46225</v>
      </c>
      <c r="E291" s="1" t="n">
        <v>46319</v>
      </c>
      <c r="F291" t="inlineStr">
        <is>
          <t>HALLANDS LÄN</t>
        </is>
      </c>
      <c r="G291" t="inlineStr">
        <is>
          <t>FALKENBERG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46319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46319</v>
      </c>
      <c r="F293" t="inlineStr">
        <is>
          <t>HALLANDS LÄN</t>
        </is>
      </c>
      <c r="G293" t="inlineStr">
        <is>
          <t>FALKENBERG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46319</v>
      </c>
      <c r="F294" t="inlineStr">
        <is>
          <t>HALLANDS LÄN</t>
        </is>
      </c>
      <c r="G294" t="inlineStr">
        <is>
          <t>FALKENBERG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46004</v>
      </c>
      <c r="E295" s="1" t="n">
        <v>46319</v>
      </c>
      <c r="F295" t="inlineStr">
        <is>
          <t>HALLANDS LÄN</t>
        </is>
      </c>
      <c r="G295" t="inlineStr">
        <is>
          <t>FALKENBERG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46319</v>
      </c>
      <c r="F296" t="inlineStr">
        <is>
          <t>HALLANDS LÄN</t>
        </is>
      </c>
      <c r="G296" t="inlineStr">
        <is>
          <t>FALKENBERG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45785</v>
      </c>
      <c r="E297" s="1" t="n">
        <v>46319</v>
      </c>
      <c r="F297" t="inlineStr">
        <is>
          <t>HALLANDS LÄN</t>
        </is>
      </c>
      <c r="G297" t="inlineStr">
        <is>
          <t>FALKENBERG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46319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46319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46319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46319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45443</v>
      </c>
      <c r="E302" s="1" t="n">
        <v>46319</v>
      </c>
      <c r="F302" t="inlineStr">
        <is>
          <t>HALLANDS LÄN</t>
        </is>
      </c>
      <c r="G302" t="inlineStr">
        <is>
          <t>FALKENBERG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46319</v>
      </c>
      <c r="F303" t="inlineStr">
        <is>
          <t>HALLANDS LÄN</t>
        </is>
      </c>
      <c r="G303" t="inlineStr">
        <is>
          <t>FALKENBERG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46319</v>
      </c>
      <c r="F304" t="inlineStr">
        <is>
          <t>HALLANDS LÄN</t>
        </is>
      </c>
      <c r="G304" t="inlineStr">
        <is>
          <t>FALKENBERG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46319</v>
      </c>
      <c r="F305" t="inlineStr">
        <is>
          <t>HALLANDS LÄN</t>
        </is>
      </c>
      <c r="G305" t="inlineStr">
        <is>
          <t>FALKENBERG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46319</v>
      </c>
      <c r="F306" t="inlineStr">
        <is>
          <t>HALLANDS LÄN</t>
        </is>
      </c>
      <c r="G306" t="inlineStr">
        <is>
          <t>FALKENBERG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45582</v>
      </c>
      <c r="E307" s="1" t="n">
        <v>46319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46281</v>
      </c>
      <c r="E308" s="1" t="n">
        <v>46319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46319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46319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46319</v>
      </c>
      <c r="F311" t="inlineStr">
        <is>
          <t>HALLANDS LÄN</t>
        </is>
      </c>
      <c r="G311" t="inlineStr">
        <is>
          <t>FALKENBERG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46319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46319</v>
      </c>
      <c r="F313" t="inlineStr">
        <is>
          <t>HALLANDS LÄN</t>
        </is>
      </c>
      <c r="G313" t="inlineStr">
        <is>
          <t>FALKENBERG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46319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46319</v>
      </c>
      <c r="F315" t="inlineStr">
        <is>
          <t>HALLANDS LÄN</t>
        </is>
      </c>
      <c r="G315" t="inlineStr">
        <is>
          <t>FALKENBERG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46319</v>
      </c>
      <c r="F316" t="inlineStr">
        <is>
          <t>HALLANDS LÄN</t>
        </is>
      </c>
      <c r="G316" t="inlineStr">
        <is>
          <t>FALKENBERG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46319</v>
      </c>
      <c r="F317" t="inlineStr">
        <is>
          <t>HALLANDS LÄN</t>
        </is>
      </c>
      <c r="G317" t="inlineStr">
        <is>
          <t>FALKENBERG</t>
        </is>
      </c>
      <c r="H317" t="inlineStr">
        <is>
          <t>Naturvårdsverket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46319</v>
      </c>
      <c r="F318" t="inlineStr">
        <is>
          <t>HALLANDS LÄN</t>
        </is>
      </c>
      <c r="G318" t="inlineStr">
        <is>
          <t>FALKENBERG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45666</v>
      </c>
      <c r="E319" s="1" t="n">
        <v>46319</v>
      </c>
      <c r="F319" t="inlineStr">
        <is>
          <t>HALLANDS LÄN</t>
        </is>
      </c>
      <c r="G319" t="inlineStr">
        <is>
          <t>FALKENBERG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46319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72277-2021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44545</v>
      </c>
      <c r="E321" s="1" t="n">
        <v>46319</v>
      </c>
      <c r="F321" t="inlineStr">
        <is>
          <t>HALLANDS LÄN</t>
        </is>
      </c>
      <c r="G321" t="inlineStr">
        <is>
          <t>FALKENBERG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46319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46319</v>
      </c>
      <c r="F323" t="inlineStr">
        <is>
          <t>HALLANDS LÄN</t>
        </is>
      </c>
      <c r="G323" t="inlineStr">
        <is>
          <t>FALKENBERG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46319</v>
      </c>
      <c r="F324" t="inlineStr">
        <is>
          <t>HALLANDS LÄN</t>
        </is>
      </c>
      <c r="G324" t="inlineStr">
        <is>
          <t>FALKENBERG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46319</v>
      </c>
      <c r="F325" t="inlineStr">
        <is>
          <t>HALLANDS LÄN</t>
        </is>
      </c>
      <c r="G325" t="inlineStr">
        <is>
          <t>FALKENBERG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46319</v>
      </c>
      <c r="F326" t="inlineStr">
        <is>
          <t>HALLANDS LÄN</t>
        </is>
      </c>
      <c r="G326" t="inlineStr">
        <is>
          <t>FALKENBERG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46319</v>
      </c>
      <c r="F327" t="inlineStr">
        <is>
          <t>HALLANDS LÄN</t>
        </is>
      </c>
      <c r="G327" t="inlineStr">
        <is>
          <t>FALKENBERG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46319</v>
      </c>
      <c r="F328" t="inlineStr">
        <is>
          <t>HALLANDS LÄN</t>
        </is>
      </c>
      <c r="G328" t="inlineStr">
        <is>
          <t>FALKENBERG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46319</v>
      </c>
      <c r="F329" t="inlineStr">
        <is>
          <t>HALLANDS LÄN</t>
        </is>
      </c>
      <c r="G329" t="inlineStr">
        <is>
          <t>FALKENBERG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46319</v>
      </c>
      <c r="F330" t="inlineStr">
        <is>
          <t>HALLANDS LÄN</t>
        </is>
      </c>
      <c r="G330" t="inlineStr">
        <is>
          <t>FALKENBERG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46319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46319</v>
      </c>
      <c r="F332" t="inlineStr">
        <is>
          <t>HALLANDS LÄN</t>
        </is>
      </c>
      <c r="G332" t="inlineStr">
        <is>
          <t>FALKENBERG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46319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46319</v>
      </c>
      <c r="F334" t="inlineStr">
        <is>
          <t>HALLANDS LÄN</t>
        </is>
      </c>
      <c r="G334" t="inlineStr">
        <is>
          <t>FALKENBERG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54606-2025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45966</v>
      </c>
      <c r="E335" s="1" t="n">
        <v>46319</v>
      </c>
      <c r="F335" t="inlineStr">
        <is>
          <t>HALLANDS LÄN</t>
        </is>
      </c>
      <c r="G335" t="inlineStr">
        <is>
          <t>FALKENBERG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45810</v>
      </c>
      <c r="E336" s="1" t="n">
        <v>46319</v>
      </c>
      <c r="F336" t="inlineStr">
        <is>
          <t>HALLANDS LÄN</t>
        </is>
      </c>
      <c r="G336" t="inlineStr">
        <is>
          <t>FALKENBERG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46319</v>
      </c>
      <c r="F337" t="inlineStr">
        <is>
          <t>HALLANDS LÄN</t>
        </is>
      </c>
      <c r="G337" t="inlineStr">
        <is>
          <t>FALKENBERG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46319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46319</v>
      </c>
      <c r="F339" t="inlineStr">
        <is>
          <t>HALLANDS LÄN</t>
        </is>
      </c>
      <c r="G339" t="inlineStr">
        <is>
          <t>FALKENBERG</t>
        </is>
      </c>
      <c r="H339" t="inlineStr">
        <is>
          <t>Kommuner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46319</v>
      </c>
      <c r="F340" t="inlineStr">
        <is>
          <t>HALLANDS LÄN</t>
        </is>
      </c>
      <c r="G340" t="inlineStr">
        <is>
          <t>FALKENBERG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46319</v>
      </c>
      <c r="F341" t="inlineStr">
        <is>
          <t>HALLANDS LÄN</t>
        </is>
      </c>
      <c r="G341" t="inlineStr">
        <is>
          <t>FALKENBERG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46319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46293</v>
      </c>
      <c r="E343" s="1" t="n">
        <v>46319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46319</v>
      </c>
      <c r="F344" t="inlineStr">
        <is>
          <t>HALLANDS LÄN</t>
        </is>
      </c>
      <c r="G344" t="inlineStr">
        <is>
          <t>FALKENBERG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46319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46319</v>
      </c>
      <c r="F346" t="inlineStr">
        <is>
          <t>HALLANDS LÄN</t>
        </is>
      </c>
      <c r="G346" t="inlineStr">
        <is>
          <t>FALKENBERG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46319</v>
      </c>
      <c r="F347" t="inlineStr">
        <is>
          <t>HALLANDS LÄN</t>
        </is>
      </c>
      <c r="G347" t="inlineStr">
        <is>
          <t>FALKENBERG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46293</v>
      </c>
      <c r="E348" s="1" t="n">
        <v>46319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46319</v>
      </c>
      <c r="F349" t="inlineStr">
        <is>
          <t>HALLANDS LÄN</t>
        </is>
      </c>
      <c r="G349" t="inlineStr">
        <is>
          <t>FALKENBERG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45300</v>
      </c>
      <c r="E350" s="1" t="n">
        <v>46319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45300</v>
      </c>
      <c r="E351" s="1" t="n">
        <v>46319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46319</v>
      </c>
      <c r="F352" t="inlineStr">
        <is>
          <t>HALLANDS LÄN</t>
        </is>
      </c>
      <c r="G352" t="inlineStr">
        <is>
          <t>FALKENBERG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46319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46319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46319</v>
      </c>
      <c r="F355" t="inlineStr">
        <is>
          <t>HALLANDS LÄN</t>
        </is>
      </c>
      <c r="G355" t="inlineStr">
        <is>
          <t>FALKENBERG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46319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46319</v>
      </c>
      <c r="F357" t="inlineStr">
        <is>
          <t>HALLANDS LÄN</t>
        </is>
      </c>
      <c r="G357" t="inlineStr">
        <is>
          <t>FALKENBERG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45821</v>
      </c>
      <c r="E358" s="1" t="n">
        <v>46319</v>
      </c>
      <c r="F358" t="inlineStr">
        <is>
          <t>HALLANDS LÄN</t>
        </is>
      </c>
      <c r="G358" t="inlineStr">
        <is>
          <t>FALKENBERG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46319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46319</v>
      </c>
      <c r="F360" t="inlineStr">
        <is>
          <t>HALLANDS LÄN</t>
        </is>
      </c>
      <c r="G360" t="inlineStr">
        <is>
          <t>FALKENBERG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46295</v>
      </c>
      <c r="E361" s="1" t="n">
        <v>46319</v>
      </c>
      <c r="F361" t="inlineStr">
        <is>
          <t>HALLANDS LÄN</t>
        </is>
      </c>
      <c r="G361" t="inlineStr">
        <is>
          <t>FALKENBERG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46319</v>
      </c>
      <c r="F362" t="inlineStr">
        <is>
          <t>HALLANDS LÄN</t>
        </is>
      </c>
      <c r="G362" t="inlineStr">
        <is>
          <t>FALKENBERG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46319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46082</v>
      </c>
      <c r="E364" s="1" t="n">
        <v>46319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46319</v>
      </c>
      <c r="F365" t="inlineStr">
        <is>
          <t>HALLANDS LÄN</t>
        </is>
      </c>
      <c r="G365" t="inlineStr">
        <is>
          <t>FALKENBERG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46319</v>
      </c>
      <c r="F366" t="inlineStr">
        <is>
          <t>HALLANDS LÄN</t>
        </is>
      </c>
      <c r="G366" t="inlineStr">
        <is>
          <t>FALKENBERG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46319</v>
      </c>
      <c r="F367" t="inlineStr">
        <is>
          <t>HALLANDS LÄN</t>
        </is>
      </c>
      <c r="G367" t="inlineStr">
        <is>
          <t>FALKENBERG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46319</v>
      </c>
      <c r="F368" t="inlineStr">
        <is>
          <t>HALLANDS LÄN</t>
        </is>
      </c>
      <c r="G368" t="inlineStr">
        <is>
          <t>FALKENBERG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46319</v>
      </c>
      <c r="F369" t="inlineStr">
        <is>
          <t>HALLANDS LÄN</t>
        </is>
      </c>
      <c r="G369" t="inlineStr">
        <is>
          <t>FALKENBERG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46319</v>
      </c>
      <c r="F370" t="inlineStr">
        <is>
          <t>HALLANDS LÄN</t>
        </is>
      </c>
      <c r="G370" t="inlineStr">
        <is>
          <t>FALKENBERG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46319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46319</v>
      </c>
      <c r="F372" t="inlineStr">
        <is>
          <t>HALLANDS LÄN</t>
        </is>
      </c>
      <c r="G372" t="inlineStr">
        <is>
          <t>FALKENBERG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46319</v>
      </c>
      <c r="F373" t="inlineStr">
        <is>
          <t>HALLANDS LÄN</t>
        </is>
      </c>
      <c r="G373" t="inlineStr">
        <is>
          <t>FALKENBERG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46097</v>
      </c>
      <c r="E374" s="1" t="n">
        <v>46319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45441</v>
      </c>
      <c r="E375" s="1" t="n">
        <v>46319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44984</v>
      </c>
      <c r="E376" s="1" t="n">
        <v>46319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46319</v>
      </c>
      <c r="F377" t="inlineStr">
        <is>
          <t>HALLANDS LÄN</t>
        </is>
      </c>
      <c r="G377" t="inlineStr">
        <is>
          <t>FALKENBERG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46259</v>
      </c>
      <c r="E378" s="1" t="n">
        <v>46319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34892-2026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46259</v>
      </c>
      <c r="E379" s="1" t="n">
        <v>46319</v>
      </c>
      <c r="F379" t="inlineStr">
        <is>
          <t>HALLANDS LÄN</t>
        </is>
      </c>
      <c r="G379" t="inlineStr">
        <is>
          <t>FALKENBERG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46319</v>
      </c>
      <c r="F380" t="inlineStr">
        <is>
          <t>HALLANDS LÄN</t>
        </is>
      </c>
      <c r="G380" t="inlineStr">
        <is>
          <t>FALKENBERG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46258</v>
      </c>
      <c r="E381" s="1" t="n">
        <v>46319</v>
      </c>
      <c r="F381" t="inlineStr">
        <is>
          <t>HALLANDS LÄN</t>
        </is>
      </c>
      <c r="G381" t="inlineStr">
        <is>
          <t>FALKENBERG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46319</v>
      </c>
      <c r="F382" t="inlineStr">
        <is>
          <t>HALLANDS LÄN</t>
        </is>
      </c>
      <c r="G382" t="inlineStr">
        <is>
          <t>FALKENBERG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46319</v>
      </c>
      <c r="F383" t="inlineStr">
        <is>
          <t>HALLANDS LÄN</t>
        </is>
      </c>
      <c r="G383" t="inlineStr">
        <is>
          <t>FALKENBERG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46319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46319</v>
      </c>
      <c r="F385" t="inlineStr">
        <is>
          <t>HALLANDS LÄN</t>
        </is>
      </c>
      <c r="G385" t="inlineStr">
        <is>
          <t>FALKENBERG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46302</v>
      </c>
      <c r="E386" s="1" t="n">
        <v>46319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45750</v>
      </c>
      <c r="E387" s="1" t="n">
        <v>46319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46304</v>
      </c>
      <c r="E388" s="1" t="n">
        <v>46319</v>
      </c>
      <c r="F388" t="inlineStr">
        <is>
          <t>HALLANDS LÄN</t>
        </is>
      </c>
      <c r="G388" t="inlineStr">
        <is>
          <t>FALKENBERG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46319</v>
      </c>
      <c r="F389" t="inlineStr">
        <is>
          <t>HALLANDS LÄN</t>
        </is>
      </c>
      <c r="G389" t="inlineStr">
        <is>
          <t>FALKENBERG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46304</v>
      </c>
      <c r="E390" s="1" t="n">
        <v>46319</v>
      </c>
      <c r="F390" t="inlineStr">
        <is>
          <t>HALLANDS LÄN</t>
        </is>
      </c>
      <c r="G390" t="inlineStr">
        <is>
          <t>FALKENBERG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46304</v>
      </c>
      <c r="E391" s="1" t="n">
        <v>46319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46319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17484-2026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46120</v>
      </c>
      <c r="E393" s="1" t="n">
        <v>46319</v>
      </c>
      <c r="F393" t="inlineStr">
        <is>
          <t>HALLANDS LÄN</t>
        </is>
      </c>
      <c r="G393" t="inlineStr">
        <is>
          <t>FALKENBERG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65081-2021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44515</v>
      </c>
      <c r="E394" s="1" t="n">
        <v>46319</v>
      </c>
      <c r="F394" t="inlineStr">
        <is>
          <t>HALLANDS LÄN</t>
        </is>
      </c>
      <c r="G394" t="inlineStr">
        <is>
          <t>FALKENBERG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66747-2021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44521</v>
      </c>
      <c r="E395" s="1" t="n">
        <v>46319</v>
      </c>
      <c r="F395" t="inlineStr">
        <is>
          <t>HALLANDS LÄN</t>
        </is>
      </c>
      <c r="G395" t="inlineStr">
        <is>
          <t>FALKENBERG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45422</v>
      </c>
      <c r="E396" s="1" t="n">
        <v>46319</v>
      </c>
      <c r="F396" t="inlineStr">
        <is>
          <t>HALLANDS LÄN</t>
        </is>
      </c>
      <c r="G396" t="inlineStr">
        <is>
          <t>FALKENBERG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45422</v>
      </c>
      <c r="E397" s="1" t="n">
        <v>46319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45422</v>
      </c>
      <c r="E398" s="1" t="n">
        <v>46319</v>
      </c>
      <c r="F398" t="inlineStr">
        <is>
          <t>HALLANDS LÄN</t>
        </is>
      </c>
      <c r="G398" t="inlineStr">
        <is>
          <t>FALKENBERG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44818</v>
      </c>
      <c r="E399" s="1" t="n">
        <v>46319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45068</v>
      </c>
      <c r="E400" s="1" t="n">
        <v>46319</v>
      </c>
      <c r="F400" t="inlineStr">
        <is>
          <t>HALLANDS LÄN</t>
        </is>
      </c>
      <c r="G400" t="inlineStr">
        <is>
          <t>FALKENBERG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46319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46319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45434</v>
      </c>
      <c r="E403" s="1" t="n">
        <v>46319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53427-2023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45229</v>
      </c>
      <c r="E404" s="1" t="n">
        <v>46319</v>
      </c>
      <c r="F404" t="inlineStr">
        <is>
          <t>HALLANDS LÄN</t>
        </is>
      </c>
      <c r="G404" t="inlineStr">
        <is>
          <t>FALKENBERG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46319</v>
      </c>
      <c r="F405" t="inlineStr">
        <is>
          <t>HALLANDS LÄN</t>
        </is>
      </c>
      <c r="G405" t="inlineStr">
        <is>
          <t>FALKENBERG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45079</v>
      </c>
      <c r="E406" s="1" t="n">
        <v>46319</v>
      </c>
      <c r="F406" t="inlineStr">
        <is>
          <t>HALLANDS LÄN</t>
        </is>
      </c>
      <c r="G406" t="inlineStr">
        <is>
          <t>FALKENBERG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45305</v>
      </c>
      <c r="E407" s="1" t="n">
        <v>46319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44693</v>
      </c>
      <c r="E408" s="1" t="n">
        <v>46319</v>
      </c>
      <c r="F408" t="inlineStr">
        <is>
          <t>HALLANDS LÄN</t>
        </is>
      </c>
      <c r="G408" t="inlineStr">
        <is>
          <t>FALKENBERG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44952</v>
      </c>
      <c r="E409" s="1" t="n">
        <v>46319</v>
      </c>
      <c r="F409" t="inlineStr">
        <is>
          <t>HALLANDS LÄN</t>
        </is>
      </c>
      <c r="G409" t="inlineStr">
        <is>
          <t>FALKENBERG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46319</v>
      </c>
      <c r="F410" t="inlineStr">
        <is>
          <t>HALLANDS LÄN</t>
        </is>
      </c>
      <c r="G410" t="inlineStr">
        <is>
          <t>FALKENBERG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45146</v>
      </c>
      <c r="E411" s="1" t="n">
        <v>46319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46319</v>
      </c>
      <c r="F412" t="inlineStr">
        <is>
          <t>HALLANDS LÄN</t>
        </is>
      </c>
      <c r="G412" t="inlineStr">
        <is>
          <t>FALKENBERG</t>
        </is>
      </c>
      <c r="H412" t="inlineStr">
        <is>
          <t>Bergvik skog väst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46319</v>
      </c>
      <c r="F413" t="inlineStr">
        <is>
          <t>HALLANDS LÄN</t>
        </is>
      </c>
      <c r="G413" t="inlineStr">
        <is>
          <t>FALKENBERG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44952</v>
      </c>
      <c r="E414" s="1" t="n">
        <v>46319</v>
      </c>
      <c r="F414" t="inlineStr">
        <is>
          <t>HALLANDS LÄN</t>
        </is>
      </c>
      <c r="G414" t="inlineStr">
        <is>
          <t>FALKENBERG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46319</v>
      </c>
      <c r="F415" t="inlineStr">
        <is>
          <t>HALLANDS LÄN</t>
        </is>
      </c>
      <c r="G415" t="inlineStr">
        <is>
          <t>FALKENBERG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46319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46319</v>
      </c>
      <c r="F417" t="inlineStr">
        <is>
          <t>HALLANDS LÄN</t>
        </is>
      </c>
      <c r="G417" t="inlineStr">
        <is>
          <t>FALKENBERG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46319</v>
      </c>
      <c r="F418" t="inlineStr">
        <is>
          <t>HALLANDS LÄN</t>
        </is>
      </c>
      <c r="G418" t="inlineStr">
        <is>
          <t>FALKENBERG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45074</v>
      </c>
      <c r="E419" s="1" t="n">
        <v>46319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45270</v>
      </c>
      <c r="E420" s="1" t="n">
        <v>46319</v>
      </c>
      <c r="F420" t="inlineStr">
        <is>
          <t>HALLANDS LÄN</t>
        </is>
      </c>
      <c r="G420" t="inlineStr">
        <is>
          <t>FALKENBERG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45249</v>
      </c>
      <c r="E421" s="1" t="n">
        <v>46319</v>
      </c>
      <c r="F421" t="inlineStr">
        <is>
          <t>HALLANDS LÄN</t>
        </is>
      </c>
      <c r="G421" t="inlineStr">
        <is>
          <t>FALKENBERG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46319</v>
      </c>
      <c r="F422" t="inlineStr">
        <is>
          <t>HALLANDS LÄN</t>
        </is>
      </c>
      <c r="G422" t="inlineStr">
        <is>
          <t>FALKENBERG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46319</v>
      </c>
      <c r="F423" t="inlineStr">
        <is>
          <t>HALLANDS LÄN</t>
        </is>
      </c>
      <c r="G423" t="inlineStr">
        <is>
          <t>FALKENBERG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44846</v>
      </c>
      <c r="E424" s="1" t="n">
        <v>46319</v>
      </c>
      <c r="F424" t="inlineStr">
        <is>
          <t>HALLANDS LÄN</t>
        </is>
      </c>
      <c r="G424" t="inlineStr">
        <is>
          <t>FALKENBERG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46319</v>
      </c>
      <c r="F425" t="inlineStr">
        <is>
          <t>HALLANDS LÄN</t>
        </is>
      </c>
      <c r="G425" t="inlineStr">
        <is>
          <t>FALKENBERG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45248</v>
      </c>
      <c r="E426" s="1" t="n">
        <v>46319</v>
      </c>
      <c r="F426" t="inlineStr">
        <is>
          <t>HALLANDS LÄN</t>
        </is>
      </c>
      <c r="G426" t="inlineStr">
        <is>
          <t>FALKENBERG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45249</v>
      </c>
      <c r="E427" s="1" t="n">
        <v>46319</v>
      </c>
      <c r="F427" t="inlineStr">
        <is>
          <t>HALLANDS LÄN</t>
        </is>
      </c>
      <c r="G427" t="inlineStr">
        <is>
          <t>FALKENBERG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45271</v>
      </c>
      <c r="E428" s="1" t="n">
        <v>46319</v>
      </c>
      <c r="F428" t="inlineStr">
        <is>
          <t>HALLANDS LÄN</t>
        </is>
      </c>
      <c r="G428" t="inlineStr">
        <is>
          <t>FALKENBERG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45434</v>
      </c>
      <c r="E429" s="1" t="n">
        <v>46319</v>
      </c>
      <c r="F429" t="inlineStr">
        <is>
          <t>HALLANDS LÄN</t>
        </is>
      </c>
      <c r="G429" t="inlineStr">
        <is>
          <t>FALKENBERG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46319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46319</v>
      </c>
      <c r="F431" t="inlineStr">
        <is>
          <t>HALLANDS LÄN</t>
        </is>
      </c>
      <c r="G431" t="inlineStr">
        <is>
          <t>FALKENBERG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46319</v>
      </c>
      <c r="F432" t="inlineStr">
        <is>
          <t>HALLANDS LÄN</t>
        </is>
      </c>
      <c r="G432" t="inlineStr">
        <is>
          <t>FALKENBERG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46319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61931-2021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44502</v>
      </c>
      <c r="E434" s="1" t="n">
        <v>46319</v>
      </c>
      <c r="F434" t="inlineStr">
        <is>
          <t>HALLANDS LÄN</t>
        </is>
      </c>
      <c r="G434" t="inlineStr">
        <is>
          <t>FALKENBERG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46319</v>
      </c>
      <c r="F435" t="inlineStr">
        <is>
          <t>HALLANDS LÄN</t>
        </is>
      </c>
      <c r="G435" t="inlineStr">
        <is>
          <t>FALKENBERG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45249</v>
      </c>
      <c r="E436" s="1" t="n">
        <v>46319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46319</v>
      </c>
      <c r="F437" t="inlineStr">
        <is>
          <t>HALLANDS LÄN</t>
        </is>
      </c>
      <c r="G437" t="inlineStr">
        <is>
          <t>FALKENBERG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46319</v>
      </c>
      <c r="F438" t="inlineStr">
        <is>
          <t>HALLANDS LÄN</t>
        </is>
      </c>
      <c r="G438" t="inlineStr">
        <is>
          <t>FALKENBERG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46319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46319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46319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46319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46319</v>
      </c>
      <c r="F443" t="inlineStr">
        <is>
          <t>HALLANDS LÄN</t>
        </is>
      </c>
      <c r="G443" t="inlineStr">
        <is>
          <t>FALKENBERG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46319</v>
      </c>
      <c r="F444" t="inlineStr">
        <is>
          <t>HALLANDS LÄN</t>
        </is>
      </c>
      <c r="G444" t="inlineStr">
        <is>
          <t>FALKENBERG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44602</v>
      </c>
      <c r="E445" s="1" t="n">
        <v>46319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46260</v>
      </c>
      <c r="E446" s="1" t="n">
        <v>46319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46307</v>
      </c>
      <c r="E447" s="1" t="n">
        <v>46319</v>
      </c>
      <c r="F447" t="inlineStr">
        <is>
          <t>HALLANDS LÄN</t>
        </is>
      </c>
      <c r="G447" t="inlineStr">
        <is>
          <t>FALKENBERG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46319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46319</v>
      </c>
      <c r="F449" t="inlineStr">
        <is>
          <t>HALLANDS LÄN</t>
        </is>
      </c>
      <c r="G449" t="inlineStr">
        <is>
          <t>FALKENBERG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57660-2022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46319</v>
      </c>
      <c r="F450" t="inlineStr">
        <is>
          <t>HALLANDS LÄN</t>
        </is>
      </c>
      <c r="G450" t="inlineStr">
        <is>
          <t>FALKENBERG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46319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45524</v>
      </c>
      <c r="E452" s="1" t="n">
        <v>46319</v>
      </c>
      <c r="F452" t="inlineStr">
        <is>
          <t>HALLANDS LÄN</t>
        </is>
      </c>
      <c r="G452" t="inlineStr">
        <is>
          <t>FALKENBERG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61546-2022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44916</v>
      </c>
      <c r="E453" s="1" t="n">
        <v>46319</v>
      </c>
      <c r="F453" t="inlineStr">
        <is>
          <t>HALLANDS LÄN</t>
        </is>
      </c>
      <c r="G453" t="inlineStr">
        <is>
          <t>FALKENBERG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44576</v>
      </c>
      <c r="E454" s="1" t="n">
        <v>46319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58072-2022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46319</v>
      </c>
      <c r="F455" t="inlineStr">
        <is>
          <t>HALLANDS LÄN</t>
        </is>
      </c>
      <c r="G455" t="inlineStr">
        <is>
          <t>FALKENBERG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46319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46319</v>
      </c>
      <c r="F457" t="inlineStr">
        <is>
          <t>HALLANDS LÄN</t>
        </is>
      </c>
      <c r="G457" t="inlineStr">
        <is>
          <t>FALKENBERG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44584</v>
      </c>
      <c r="E458" s="1" t="n">
        <v>46319</v>
      </c>
      <c r="F458" t="inlineStr">
        <is>
          <t>HALLANDS LÄN</t>
        </is>
      </c>
      <c r="G458" t="inlineStr">
        <is>
          <t>FALKENBERG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45272</v>
      </c>
      <c r="E459" s="1" t="n">
        <v>46319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46310</v>
      </c>
      <c r="E460" s="1" t="n">
        <v>46319</v>
      </c>
      <c r="F460" t="inlineStr">
        <is>
          <t>HALLANDS LÄN</t>
        </is>
      </c>
      <c r="G460" t="inlineStr">
        <is>
          <t>FALKENBERG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45554</v>
      </c>
      <c r="E461" s="1" t="n">
        <v>46319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46293</v>
      </c>
      <c r="E462" s="1" t="n">
        <v>46319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46319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46319</v>
      </c>
      <c r="F464" t="inlineStr">
        <is>
          <t>HALLANDS LÄN</t>
        </is>
      </c>
      <c r="G464" t="inlineStr">
        <is>
          <t>FALKENBERG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46319</v>
      </c>
      <c r="F465" t="inlineStr">
        <is>
          <t>HALLANDS LÄN</t>
        </is>
      </c>
      <c r="G465" t="inlineStr">
        <is>
          <t>FALKENBERG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46319</v>
      </c>
      <c r="F466" t="inlineStr">
        <is>
          <t>HALLANDS LÄN</t>
        </is>
      </c>
      <c r="G466" t="inlineStr">
        <is>
          <t>FALKENBERG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46319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46319</v>
      </c>
      <c r="F468" t="inlineStr">
        <is>
          <t>HALLANDS LÄN</t>
        </is>
      </c>
      <c r="G468" t="inlineStr">
        <is>
          <t>FALKENBERG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46319</v>
      </c>
      <c r="F469" t="inlineStr">
        <is>
          <t>HALLANDS LÄN</t>
        </is>
      </c>
      <c r="G469" t="inlineStr">
        <is>
          <t>FALKENBERG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45709</v>
      </c>
      <c r="E470" s="1" t="n">
        <v>46319</v>
      </c>
      <c r="F470" t="inlineStr">
        <is>
          <t>HALLANDS LÄN</t>
        </is>
      </c>
      <c r="G470" t="inlineStr">
        <is>
          <t>FALKENBERG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45547</v>
      </c>
      <c r="E471" s="1" t="n">
        <v>46319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46263</v>
      </c>
      <c r="E472" s="1" t="n">
        <v>46319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46304</v>
      </c>
      <c r="E473" s="1" t="n">
        <v>46319</v>
      </c>
      <c r="F473" t="inlineStr">
        <is>
          <t>HALLANDS LÄN</t>
        </is>
      </c>
      <c r="G473" t="inlineStr">
        <is>
          <t>FALKENBERG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45350</v>
      </c>
      <c r="E474" s="1" t="n">
        <v>46319</v>
      </c>
      <c r="F474" t="inlineStr">
        <is>
          <t>HALLANDS LÄN</t>
        </is>
      </c>
      <c r="G474" t="inlineStr">
        <is>
          <t>FALKENBERG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45811</v>
      </c>
      <c r="E475" s="1" t="n">
        <v>46319</v>
      </c>
      <c r="F475" t="inlineStr">
        <is>
          <t>HALLANDS LÄN</t>
        </is>
      </c>
      <c r="G475" t="inlineStr">
        <is>
          <t>FALKENBERG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45552</v>
      </c>
      <c r="E476" s="1" t="n">
        <v>46319</v>
      </c>
      <c r="F476" t="inlineStr">
        <is>
          <t>HALLANDS LÄN</t>
        </is>
      </c>
      <c r="G476" t="inlineStr">
        <is>
          <t>FALKENBERG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8516-2024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45355</v>
      </c>
      <c r="E477" s="1" t="n">
        <v>46319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44938</v>
      </c>
      <c r="E478" s="1" t="n">
        <v>46319</v>
      </c>
      <c r="F478" t="inlineStr">
        <is>
          <t>HALLANDS LÄN</t>
        </is>
      </c>
      <c r="G478" t="inlineStr">
        <is>
          <t>FALKENBERG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46271</v>
      </c>
      <c r="E479" s="1" t="n">
        <v>46319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46271</v>
      </c>
      <c r="E480" s="1" t="n">
        <v>46319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45842</v>
      </c>
      <c r="E481" s="1" t="n">
        <v>46319</v>
      </c>
      <c r="F481" t="inlineStr">
        <is>
          <t>HALLANDS LÄN</t>
        </is>
      </c>
      <c r="G481" t="inlineStr">
        <is>
          <t>FALKENBERG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46319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46319</v>
      </c>
      <c r="F483" t="inlineStr">
        <is>
          <t>HALLANDS LÄN</t>
        </is>
      </c>
      <c r="G483" t="inlineStr">
        <is>
          <t>FALKENBERG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46316</v>
      </c>
      <c r="E484" s="1" t="n">
        <v>46319</v>
      </c>
      <c r="F484" t="inlineStr">
        <is>
          <t>HALLANDS LÄN</t>
        </is>
      </c>
      <c r="G484" t="inlineStr">
        <is>
          <t>FALKENBERG</t>
        </is>
      </c>
      <c r="H484" t="inlineStr">
        <is>
          <t>Naturvårdsverket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46319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44600</v>
      </c>
      <c r="E486" s="1" t="n">
        <v>46319</v>
      </c>
      <c r="F486" t="inlineStr">
        <is>
          <t>HALLANDS LÄN</t>
        </is>
      </c>
      <c r="G486" t="inlineStr">
        <is>
          <t>FALKENBERG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46319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46319</v>
      </c>
      <c r="F488" t="inlineStr">
        <is>
          <t>HALLANDS LÄN</t>
        </is>
      </c>
      <c r="G488" t="inlineStr">
        <is>
          <t>FALKENBERG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46319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46319</v>
      </c>
      <c r="F490" t="inlineStr">
        <is>
          <t>HALLANDS LÄN</t>
        </is>
      </c>
      <c r="G490" t="inlineStr">
        <is>
          <t>FALKENBERG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46263</v>
      </c>
      <c r="E491" s="1" t="n">
        <v>46319</v>
      </c>
      <c r="F491" t="inlineStr">
        <is>
          <t>HALLANDS LÄN</t>
        </is>
      </c>
      <c r="G491" t="inlineStr">
        <is>
          <t>FALKENBERG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46307</v>
      </c>
      <c r="E492" s="1" t="n">
        <v>46319</v>
      </c>
      <c r="F492" t="inlineStr">
        <is>
          <t>HALLANDS LÄN</t>
        </is>
      </c>
      <c r="G492" t="inlineStr">
        <is>
          <t>FALKENBERG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44656</v>
      </c>
      <c r="E493" s="1" t="n">
        <v>46319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44694</v>
      </c>
      <c r="E494" s="1" t="n">
        <v>46319</v>
      </c>
      <c r="F494" t="inlineStr">
        <is>
          <t>HALLANDS LÄN</t>
        </is>
      </c>
      <c r="G494" t="inlineStr">
        <is>
          <t>FALKENBERG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46319</v>
      </c>
      <c r="F495" t="inlineStr">
        <is>
          <t>HALLANDS LÄN</t>
        </is>
      </c>
      <c r="G495" t="inlineStr">
        <is>
          <t>FALKENBERG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46319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21008-2026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46142</v>
      </c>
      <c r="E497" s="1" t="n">
        <v>46319</v>
      </c>
      <c r="F497" t="inlineStr">
        <is>
          <t>HALLANDS LÄN</t>
        </is>
      </c>
      <c r="G497" t="inlineStr">
        <is>
          <t>FALKENBERG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44610</v>
      </c>
      <c r="E498" s="1" t="n">
        <v>46319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20543-2023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45055</v>
      </c>
      <c r="E499" s="1" t="n">
        <v>46319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46319</v>
      </c>
      <c r="F500" t="inlineStr">
        <is>
          <t>HALLANDS LÄN</t>
        </is>
      </c>
      <c r="G500" t="inlineStr">
        <is>
          <t>FALKENBERG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45575</v>
      </c>
      <c r="E501" s="1" t="n">
        <v>46319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45273</v>
      </c>
      <c r="E502" s="1" t="n">
        <v>46319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46319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61889-2023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46319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45635</v>
      </c>
      <c r="E505" s="1" t="n">
        <v>46319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45933</v>
      </c>
      <c r="E506" s="1" t="n">
        <v>46319</v>
      </c>
      <c r="F506" t="inlineStr">
        <is>
          <t>HALLANDS LÄN</t>
        </is>
      </c>
      <c r="G506" t="inlineStr">
        <is>
          <t>FALKENBERG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46319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46319</v>
      </c>
      <c r="F508" t="inlineStr">
        <is>
          <t>HALLANDS LÄN</t>
        </is>
      </c>
      <c r="G508" t="inlineStr">
        <is>
          <t>FALKENBERG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46319</v>
      </c>
      <c r="F509" t="inlineStr">
        <is>
          <t>HALLANDS LÄN</t>
        </is>
      </c>
      <c r="G509" t="inlineStr">
        <is>
          <t>FALKENBERG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46319</v>
      </c>
      <c r="F510" t="inlineStr">
        <is>
          <t>HALLANDS LÄN</t>
        </is>
      </c>
      <c r="G510" t="inlineStr">
        <is>
          <t>FALKENBERG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44946</v>
      </c>
      <c r="E511" s="1" t="n">
        <v>46319</v>
      </c>
      <c r="F511" t="inlineStr">
        <is>
          <t>HALLANDS LÄN</t>
        </is>
      </c>
      <c r="G511" t="inlineStr">
        <is>
          <t>FALKENBERG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45667</v>
      </c>
      <c r="E512" s="1" t="n">
        <v>46319</v>
      </c>
      <c r="F512" t="inlineStr">
        <is>
          <t>HALLANDS LÄN</t>
        </is>
      </c>
      <c r="G512" t="inlineStr">
        <is>
          <t>FALKENBERG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46319</v>
      </c>
      <c r="F513" t="inlineStr">
        <is>
          <t>HALLANDS LÄN</t>
        </is>
      </c>
      <c r="G513" t="inlineStr">
        <is>
          <t>FALKENBERG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20694-2023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46319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46319</v>
      </c>
      <c r="F515" t="inlineStr">
        <is>
          <t>HALLANDS LÄN</t>
        </is>
      </c>
      <c r="G515" t="inlineStr">
        <is>
          <t>FALKENBERG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45084</v>
      </c>
      <c r="E516" s="1" t="n">
        <v>46319</v>
      </c>
      <c r="F516" t="inlineStr">
        <is>
          <t>HALLANDS LÄN</t>
        </is>
      </c>
      <c r="G516" t="inlineStr">
        <is>
          <t>FALKENBERG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46319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46319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46319</v>
      </c>
      <c r="F519" t="inlineStr">
        <is>
          <t>HALLANDS LÄN</t>
        </is>
      </c>
      <c r="G519" t="inlineStr">
        <is>
          <t>FALKENBERG</t>
        </is>
      </c>
      <c r="H519" t="inlineStr">
        <is>
          <t>Bergvik skog väst AB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46319</v>
      </c>
      <c r="F520" t="inlineStr">
        <is>
          <t>HALLANDS LÄN</t>
        </is>
      </c>
      <c r="G520" t="inlineStr">
        <is>
          <t>FALKENBERG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46319</v>
      </c>
      <c r="F521" t="inlineStr">
        <is>
          <t>HALLANDS LÄN</t>
        </is>
      </c>
      <c r="G521" t="inlineStr">
        <is>
          <t>FALKENBERG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49286-2024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45595</v>
      </c>
      <c r="E522" s="1" t="n">
        <v>46319</v>
      </c>
      <c r="F522" t="inlineStr">
        <is>
          <t>HALLANDS LÄN</t>
        </is>
      </c>
      <c r="G522" t="inlineStr">
        <is>
          <t>FALKENBERG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46319</v>
      </c>
      <c r="F523" t="inlineStr">
        <is>
          <t>HALLANDS LÄN</t>
        </is>
      </c>
      <c r="G523" t="inlineStr">
        <is>
          <t>FALKENBERG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46319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46319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44986</v>
      </c>
      <c r="E526" s="1" t="n">
        <v>46319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46319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46319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46319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46319</v>
      </c>
      <c r="F530" t="inlineStr">
        <is>
          <t>HALLANDS LÄN</t>
        </is>
      </c>
      <c r="G530" t="inlineStr">
        <is>
          <t>FALKENBERG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67454-2021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44524</v>
      </c>
      <c r="E531" s="1" t="n">
        <v>46319</v>
      </c>
      <c r="F531" t="inlineStr">
        <is>
          <t>HALLANDS LÄN</t>
        </is>
      </c>
      <c r="G531" t="inlineStr">
        <is>
          <t>FALKENBERG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46319</v>
      </c>
      <c r="F532" t="inlineStr">
        <is>
          <t>HALLANDS LÄN</t>
        </is>
      </c>
      <c r="G532" t="inlineStr">
        <is>
          <t>FALKENBERG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46319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45035</v>
      </c>
      <c r="E534" s="1" t="n">
        <v>46319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45751</v>
      </c>
      <c r="E535" s="1" t="n">
        <v>46319</v>
      </c>
      <c r="F535" t="inlineStr">
        <is>
          <t>HALLANDS LÄN</t>
        </is>
      </c>
      <c r="G535" t="inlineStr">
        <is>
          <t>FALKENBERG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52783-2023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45226</v>
      </c>
      <c r="E536" s="1" t="n">
        <v>46319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46319</v>
      </c>
      <c r="F537" t="inlineStr">
        <is>
          <t>HALLANDS LÄN</t>
        </is>
      </c>
      <c r="G537" t="inlineStr">
        <is>
          <t>FALKENBERG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45205</v>
      </c>
      <c r="E538" s="1" t="n">
        <v>46319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46319</v>
      </c>
      <c r="F539" t="inlineStr">
        <is>
          <t>HALLANDS LÄN</t>
        </is>
      </c>
      <c r="G539" t="inlineStr">
        <is>
          <t>FALKENBERG</t>
        </is>
      </c>
      <c r="H539" t="inlineStr">
        <is>
          <t>Kyrkan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26880-2022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44740</v>
      </c>
      <c r="E540" s="1" t="n">
        <v>46319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44740</v>
      </c>
      <c r="E541" s="1" t="n">
        <v>46319</v>
      </c>
      <c r="F541" t="inlineStr">
        <is>
          <t>HALLANDS LÄN</t>
        </is>
      </c>
      <c r="G541" t="inlineStr">
        <is>
          <t>FALKENBERG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46319</v>
      </c>
      <c r="F542" t="inlineStr">
        <is>
          <t>HALLANDS LÄN</t>
        </is>
      </c>
      <c r="G542" t="inlineStr">
        <is>
          <t>FALKENBERG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46319</v>
      </c>
      <c r="F543" t="inlineStr">
        <is>
          <t>HALLANDS LÄN</t>
        </is>
      </c>
      <c r="G543" t="inlineStr">
        <is>
          <t>FALKENBERG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46319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44910</v>
      </c>
      <c r="E545" s="1" t="n">
        <v>46319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45068</v>
      </c>
      <c r="E546" s="1" t="n">
        <v>46319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13168-2025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46319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45628</v>
      </c>
      <c r="E548" s="1" t="n">
        <v>46319</v>
      </c>
      <c r="F548" t="inlineStr">
        <is>
          <t>HALLANDS LÄN</t>
        </is>
      </c>
      <c r="G548" t="inlineStr">
        <is>
          <t>FALKENBERG</t>
        </is>
      </c>
      <c r="H548" t="inlineStr">
        <is>
          <t>Kommuner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45232</v>
      </c>
      <c r="E549" s="1" t="n">
        <v>46319</v>
      </c>
      <c r="F549" t="inlineStr">
        <is>
          <t>HALLANDS LÄN</t>
        </is>
      </c>
      <c r="G549" t="inlineStr">
        <is>
          <t>FALKENBERG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46319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45001</v>
      </c>
      <c r="E551" s="1" t="n">
        <v>46319</v>
      </c>
      <c r="F551" t="inlineStr">
        <is>
          <t>HALLANDS LÄN</t>
        </is>
      </c>
      <c r="G551" t="inlineStr">
        <is>
          <t>FALKENBERG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45751</v>
      </c>
      <c r="E552" s="1" t="n">
        <v>46319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46319</v>
      </c>
      <c r="F553" t="inlineStr">
        <is>
          <t>HALLANDS LÄN</t>
        </is>
      </c>
      <c r="G553" t="inlineStr">
        <is>
          <t>FALKENBERG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55257-2022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44882</v>
      </c>
      <c r="E554" s="1" t="n">
        <v>46319</v>
      </c>
      <c r="F554" t="inlineStr">
        <is>
          <t>HALLANDS LÄN</t>
        </is>
      </c>
      <c r="G554" t="inlineStr">
        <is>
          <t>FALKENBERG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46319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44957</v>
      </c>
      <c r="E556" s="1" t="n">
        <v>46319</v>
      </c>
      <c r="F556" t="inlineStr">
        <is>
          <t>HALLANDS LÄN</t>
        </is>
      </c>
      <c r="G556" t="inlineStr">
        <is>
          <t>FALKENBERG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70848-2021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44538</v>
      </c>
      <c r="E557" s="1" t="n">
        <v>46319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46319</v>
      </c>
      <c r="F558" t="inlineStr">
        <is>
          <t>HALLANDS LÄN</t>
        </is>
      </c>
      <c r="G558" t="inlineStr">
        <is>
          <t>FALKENBERG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44966</v>
      </c>
      <c r="E559" s="1" t="n">
        <v>46319</v>
      </c>
      <c r="F559" t="inlineStr">
        <is>
          <t>HALLANDS LÄN</t>
        </is>
      </c>
      <c r="G559" t="inlineStr">
        <is>
          <t>FALKENBERG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46319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46319</v>
      </c>
      <c r="F561" t="inlineStr">
        <is>
          <t>HALLANDS LÄN</t>
        </is>
      </c>
      <c r="G561" t="inlineStr">
        <is>
          <t>FALKENBERG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72470-2021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44545</v>
      </c>
      <c r="E562" s="1" t="n">
        <v>46319</v>
      </c>
      <c r="F562" t="inlineStr">
        <is>
          <t>HALLANDS LÄN</t>
        </is>
      </c>
      <c r="G562" t="inlineStr">
        <is>
          <t>FALKENBERG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46319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46319</v>
      </c>
      <c r="F564" t="inlineStr">
        <is>
          <t>HALLANDS LÄN</t>
        </is>
      </c>
      <c r="G564" t="inlineStr">
        <is>
          <t>FALKENBERG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12470-2023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44999</v>
      </c>
      <c r="E565" s="1" t="n">
        <v>46319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45131</v>
      </c>
      <c r="E566" s="1" t="n">
        <v>46319</v>
      </c>
      <c r="F566" t="inlineStr">
        <is>
          <t>HALLANDS LÄN</t>
        </is>
      </c>
      <c r="G566" t="inlineStr">
        <is>
          <t>FALKENBERG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46319</v>
      </c>
      <c r="F567" t="inlineStr">
        <is>
          <t>HALLANDS LÄN</t>
        </is>
      </c>
      <c r="G567" t="inlineStr">
        <is>
          <t>FALKENBERG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55878-2023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45239</v>
      </c>
      <c r="E568" s="1" t="n">
        <v>46319</v>
      </c>
      <c r="F568" t="inlineStr">
        <is>
          <t>HALLANDS LÄN</t>
        </is>
      </c>
      <c r="G568" t="inlineStr">
        <is>
          <t>FALKENBERG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45425</v>
      </c>
      <c r="E569" s="1" t="n">
        <v>46319</v>
      </c>
      <c r="F569" t="inlineStr">
        <is>
          <t>HALLANDS LÄN</t>
        </is>
      </c>
      <c r="G569" t="inlineStr">
        <is>
          <t>FALKENBERG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27436-2024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45474</v>
      </c>
      <c r="E570" s="1" t="n">
        <v>46319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67744-2021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44525</v>
      </c>
      <c r="E571" s="1" t="n">
        <v>46319</v>
      </c>
      <c r="F571" t="inlineStr">
        <is>
          <t>HALLANDS LÄN</t>
        </is>
      </c>
      <c r="G571" t="inlineStr">
        <is>
          <t>FALKENBERG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71844-2021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44543</v>
      </c>
      <c r="E572" s="1" t="n">
        <v>46319</v>
      </c>
      <c r="F572" t="inlineStr">
        <is>
          <t>HALLANDS LÄN</t>
        </is>
      </c>
      <c r="G572" t="inlineStr">
        <is>
          <t>FALKENBERG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46319</v>
      </c>
      <c r="F573" t="inlineStr">
        <is>
          <t>HALLANDS LÄN</t>
        </is>
      </c>
      <c r="G573" t="inlineStr">
        <is>
          <t>FALKENBERG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44827</v>
      </c>
      <c r="E574" s="1" t="n">
        <v>46319</v>
      </c>
      <c r="F574" t="inlineStr">
        <is>
          <t>HALLANDS LÄN</t>
        </is>
      </c>
      <c r="G574" t="inlineStr">
        <is>
          <t>FALKENBERG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45138</v>
      </c>
      <c r="E575" s="1" t="n">
        <v>46319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46319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46365-2022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44848</v>
      </c>
      <c r="E577" s="1" t="n">
        <v>46319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46319</v>
      </c>
      <c r="F578" t="inlineStr">
        <is>
          <t>HALLANDS LÄN</t>
        </is>
      </c>
      <c r="G578" t="inlineStr">
        <is>
          <t>FALKENBERG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46319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46319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29201-2023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45105</v>
      </c>
      <c r="E581" s="1" t="n">
        <v>46319</v>
      </c>
      <c r="F581" t="inlineStr">
        <is>
          <t>HALLANDS LÄN</t>
        </is>
      </c>
      <c r="G581" t="inlineStr">
        <is>
          <t>FALKENBERG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45048</v>
      </c>
      <c r="E582" s="1" t="n">
        <v>46319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45148</v>
      </c>
      <c r="E583" s="1" t="n">
        <v>46319</v>
      </c>
      <c r="F583" t="inlineStr">
        <is>
          <t>HALLANDS LÄN</t>
        </is>
      </c>
      <c r="G583" t="inlineStr">
        <is>
          <t>FALKENBERG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46319</v>
      </c>
      <c r="F584" t="inlineStr">
        <is>
          <t>HALLANDS LÄN</t>
        </is>
      </c>
      <c r="G584" t="inlineStr">
        <is>
          <t>FALKENBERG</t>
        </is>
      </c>
      <c r="H584" t="inlineStr">
        <is>
          <t>Kyrkan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44986</v>
      </c>
      <c r="E585" s="1" t="n">
        <v>46319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46319</v>
      </c>
      <c r="F586" t="inlineStr">
        <is>
          <t>HALLANDS LÄN</t>
        </is>
      </c>
      <c r="G586" t="inlineStr">
        <is>
          <t>FALKENBERG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46319</v>
      </c>
      <c r="F587" t="inlineStr">
        <is>
          <t>HALLANDS LÄN</t>
        </is>
      </c>
      <c r="G587" t="inlineStr">
        <is>
          <t>FALKENBERG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45481</v>
      </c>
      <c r="E588" s="1" t="n">
        <v>46319</v>
      </c>
      <c r="F588" t="inlineStr">
        <is>
          <t>HALLANDS LÄN</t>
        </is>
      </c>
      <c r="G588" t="inlineStr">
        <is>
          <t>FALKENBERG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46319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45552</v>
      </c>
      <c r="E590" s="1" t="n">
        <v>46319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45678</v>
      </c>
      <c r="E591" s="1" t="n">
        <v>46319</v>
      </c>
      <c r="F591" t="inlineStr">
        <is>
          <t>HALLANDS LÄN</t>
        </is>
      </c>
      <c r="G591" t="inlineStr">
        <is>
          <t>FALKENBERG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15427-2024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46319</v>
      </c>
      <c r="F592" t="inlineStr">
        <is>
          <t>HALLANDS LÄN</t>
        </is>
      </c>
      <c r="G592" t="inlineStr">
        <is>
          <t>FALKENBERG</t>
        </is>
      </c>
      <c r="H592" t="inlineStr">
        <is>
          <t>Kyrkan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45714</v>
      </c>
      <c r="E593" s="1" t="n">
        <v>46319</v>
      </c>
      <c r="F593" t="inlineStr">
        <is>
          <t>HALLANDS LÄN</t>
        </is>
      </c>
      <c r="G593" t="inlineStr">
        <is>
          <t>FALKENBERG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46319</v>
      </c>
      <c r="F594" t="inlineStr">
        <is>
          <t>HALLANDS LÄN</t>
        </is>
      </c>
      <c r="G594" t="inlineStr">
        <is>
          <t>FALKENBERG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45667</v>
      </c>
      <c r="E595" s="1" t="n">
        <v>46319</v>
      </c>
      <c r="F595" t="inlineStr">
        <is>
          <t>HALLANDS LÄN</t>
        </is>
      </c>
      <c r="G595" t="inlineStr">
        <is>
          <t>FALKENBERG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44644</v>
      </c>
      <c r="E596" s="1" t="n">
        <v>46319</v>
      </c>
      <c r="F596" t="inlineStr">
        <is>
          <t>HALLANDS LÄN</t>
        </is>
      </c>
      <c r="G596" t="inlineStr">
        <is>
          <t>FALKENBERG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45190</v>
      </c>
      <c r="E597" s="1" t="n">
        <v>46319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73973-2021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44554</v>
      </c>
      <c r="E598" s="1" t="n">
        <v>46319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46319</v>
      </c>
      <c r="F599" t="inlineStr">
        <is>
          <t>HALLANDS LÄN</t>
        </is>
      </c>
      <c r="G599" t="inlineStr">
        <is>
          <t>FALKENBERG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20349-2024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45435</v>
      </c>
      <c r="E600" s="1" t="n">
        <v>46319</v>
      </c>
      <c r="F600" t="inlineStr">
        <is>
          <t>HALLANDS LÄN</t>
        </is>
      </c>
      <c r="G600" t="inlineStr">
        <is>
          <t>FALKENBERG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45618</v>
      </c>
      <c r="E601" s="1" t="n">
        <v>46319</v>
      </c>
      <c r="F601" t="inlineStr">
        <is>
          <t>HALLANDS LÄN</t>
        </is>
      </c>
      <c r="G601" t="inlineStr">
        <is>
          <t>FALKENBERG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45643</v>
      </c>
      <c r="E602" s="1" t="n">
        <v>46319</v>
      </c>
      <c r="F602" t="inlineStr">
        <is>
          <t>HALLANDS LÄN</t>
        </is>
      </c>
      <c r="G602" t="inlineStr">
        <is>
          <t>FALKENBERG</t>
        </is>
      </c>
      <c r="H602" t="inlineStr">
        <is>
          <t>Kyrkan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46319</v>
      </c>
      <c r="F603" t="inlineStr">
        <is>
          <t>HALLANDS LÄN</t>
        </is>
      </c>
      <c r="G603" t="inlineStr">
        <is>
          <t>FALKENBERG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45751</v>
      </c>
      <c r="E604" s="1" t="n">
        <v>46319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43883-2023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45187</v>
      </c>
      <c r="E605" s="1" t="n">
        <v>46319</v>
      </c>
      <c r="F605" t="inlineStr">
        <is>
          <t>HALLANDS LÄN</t>
        </is>
      </c>
      <c r="G605" t="inlineStr">
        <is>
          <t>FALKENBERG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15492-2024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45401</v>
      </c>
      <c r="E606" s="1" t="n">
        <v>46319</v>
      </c>
      <c r="F606" t="inlineStr">
        <is>
          <t>HALLANDS LÄN</t>
        </is>
      </c>
      <c r="G606" t="inlineStr">
        <is>
          <t>FALKENBERG</t>
        </is>
      </c>
      <c r="H606" t="inlineStr">
        <is>
          <t>Kyrkan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45435</v>
      </c>
      <c r="E607" s="1" t="n">
        <v>46319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45414</v>
      </c>
      <c r="E608" s="1" t="n">
        <v>46319</v>
      </c>
      <c r="F608" t="inlineStr">
        <is>
          <t>HALLANDS LÄN</t>
        </is>
      </c>
      <c r="G608" t="inlineStr">
        <is>
          <t>FALKENBERG</t>
        </is>
      </c>
      <c r="H608" t="inlineStr">
        <is>
          <t>Kyrkan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38010-2022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44811</v>
      </c>
      <c r="E609" s="1" t="n">
        <v>46319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46319</v>
      </c>
      <c r="F610" t="inlineStr">
        <is>
          <t>HALLANDS LÄN</t>
        </is>
      </c>
      <c r="G610" t="inlineStr">
        <is>
          <t>FALKENBERG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46319</v>
      </c>
      <c r="F611" t="inlineStr">
        <is>
          <t>HALLANDS LÄN</t>
        </is>
      </c>
      <c r="G611" t="inlineStr">
        <is>
          <t>FALKENBERG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44664</v>
      </c>
      <c r="E612" s="1" t="n">
        <v>46319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45680</v>
      </c>
      <c r="E613" s="1" t="n">
        <v>46319</v>
      </c>
      <c r="F613" t="inlineStr">
        <is>
          <t>HALLANDS LÄN</t>
        </is>
      </c>
      <c r="G613" t="inlineStr">
        <is>
          <t>FALKENBERG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38905-2023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45163</v>
      </c>
      <c r="E614" s="1" t="n">
        <v>46319</v>
      </c>
      <c r="F614" t="inlineStr">
        <is>
          <t>HALLANDS LÄN</t>
        </is>
      </c>
      <c r="G614" t="inlineStr">
        <is>
          <t>FALKENBERG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46319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44133-2023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45188</v>
      </c>
      <c r="E616" s="1" t="n">
        <v>46319</v>
      </c>
      <c r="F616" t="inlineStr">
        <is>
          <t>HALLANDS LÄN</t>
        </is>
      </c>
      <c r="G616" t="inlineStr">
        <is>
          <t>FALKENBERG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45131</v>
      </c>
      <c r="E617" s="1" t="n">
        <v>46319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55876-2023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45239</v>
      </c>
      <c r="E618" s="1" t="n">
        <v>46319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46319</v>
      </c>
      <c r="F619" t="inlineStr">
        <is>
          <t>HALLANDS LÄN</t>
        </is>
      </c>
      <c r="G619" t="inlineStr">
        <is>
          <t>FALKENBERG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45328</v>
      </c>
      <c r="E620" s="1" t="n">
        <v>46319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18270-2025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45762</v>
      </c>
      <c r="E621" s="1" t="n">
        <v>46319</v>
      </c>
      <c r="F621" t="inlineStr">
        <is>
          <t>HALLANDS LÄN</t>
        </is>
      </c>
      <c r="G621" t="inlineStr">
        <is>
          <t>FALKENBERG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46319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10746-2022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44627</v>
      </c>
      <c r="E623" s="1" t="n">
        <v>46319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46319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44958</v>
      </c>
      <c r="E625" s="1" t="n">
        <v>46319</v>
      </c>
      <c r="F625" t="inlineStr">
        <is>
          <t>HALLANDS LÄN</t>
        </is>
      </c>
      <c r="G625" t="inlineStr">
        <is>
          <t>FALKENBERG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45091</v>
      </c>
      <c r="E626" s="1" t="n">
        <v>46319</v>
      </c>
      <c r="F626" t="inlineStr">
        <is>
          <t>HALLANDS LÄN</t>
        </is>
      </c>
      <c r="G626" t="inlineStr">
        <is>
          <t>FALKENBERG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45118</v>
      </c>
      <c r="E627" s="1" t="n">
        <v>46319</v>
      </c>
      <c r="F627" t="inlineStr">
        <is>
          <t>HALLANDS LÄN</t>
        </is>
      </c>
      <c r="G627" t="inlineStr">
        <is>
          <t>FALKENBERG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45252</v>
      </c>
      <c r="E628" s="1" t="n">
        <v>46319</v>
      </c>
      <c r="F628" t="inlineStr">
        <is>
          <t>HALLANDS LÄN</t>
        </is>
      </c>
      <c r="G628" t="inlineStr">
        <is>
          <t>FALKENBERG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33041-2022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44785</v>
      </c>
      <c r="E629" s="1" t="n">
        <v>46319</v>
      </c>
      <c r="F629" t="inlineStr">
        <is>
          <t>HALLANDS LÄN</t>
        </is>
      </c>
      <c r="G629" t="inlineStr">
        <is>
          <t>FALKENBERG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64836-2023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45282</v>
      </c>
      <c r="E630" s="1" t="n">
        <v>46319</v>
      </c>
      <c r="F630" t="inlineStr">
        <is>
          <t>HALLANDS LÄN</t>
        </is>
      </c>
      <c r="G630" t="inlineStr">
        <is>
          <t>FALKENBERG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46319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46319</v>
      </c>
      <c r="F632" t="inlineStr">
        <is>
          <t>HALLANDS LÄN</t>
        </is>
      </c>
      <c r="G632" t="inlineStr">
        <is>
          <t>FALKENBERG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46319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45539</v>
      </c>
      <c r="E634" s="1" t="n">
        <v>46319</v>
      </c>
      <c r="F634" t="inlineStr">
        <is>
          <t>HALLANDS LÄN</t>
        </is>
      </c>
      <c r="G634" t="inlineStr">
        <is>
          <t>FALKENBERG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46319</v>
      </c>
      <c r="F635" t="inlineStr">
        <is>
          <t>HALLANDS LÄN</t>
        </is>
      </c>
      <c r="G635" t="inlineStr">
        <is>
          <t>FALKENBERG</t>
        </is>
      </c>
      <c r="I635" t="n">
        <v>29.4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45691</v>
      </c>
      <c r="E636" s="1" t="n">
        <v>46319</v>
      </c>
      <c r="F636" t="inlineStr">
        <is>
          <t>HALLANDS LÄN</t>
        </is>
      </c>
      <c r="G636" t="inlineStr">
        <is>
          <t>FALKENBERG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44946</v>
      </c>
      <c r="E637" s="1" t="n">
        <v>46319</v>
      </c>
      <c r="F637" t="inlineStr">
        <is>
          <t>HALLANDS LÄN</t>
        </is>
      </c>
      <c r="G637" t="inlineStr">
        <is>
          <t>FALKENBERG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45044</v>
      </c>
      <c r="E638" s="1" t="n">
        <v>46319</v>
      </c>
      <c r="F638" t="inlineStr">
        <is>
          <t>HALLANDS LÄN</t>
        </is>
      </c>
      <c r="G638" t="inlineStr">
        <is>
          <t>FALKENBERG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54698-2024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45618</v>
      </c>
      <c r="E639" s="1" t="n">
        <v>46319</v>
      </c>
      <c r="F639" t="inlineStr">
        <is>
          <t>HALLANDS LÄN</t>
        </is>
      </c>
      <c r="G639" t="inlineStr">
        <is>
          <t>FALKENBERG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54700-2024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45618</v>
      </c>
      <c r="E640" s="1" t="n">
        <v>46319</v>
      </c>
      <c r="F640" t="inlineStr">
        <is>
          <t>HALLANDS LÄN</t>
        </is>
      </c>
      <c r="G640" t="inlineStr">
        <is>
          <t>FALKENBERG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45326</v>
      </c>
      <c r="E641" s="1" t="n">
        <v>46319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44946</v>
      </c>
      <c r="E642" s="1" t="n">
        <v>46319</v>
      </c>
      <c r="F642" t="inlineStr">
        <is>
          <t>HALLANDS LÄN</t>
        </is>
      </c>
      <c r="G642" t="inlineStr">
        <is>
          <t>FALKENBERG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10748-2022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44627</v>
      </c>
      <c r="E643" s="1" t="n">
        <v>46319</v>
      </c>
      <c r="F643" t="inlineStr">
        <is>
          <t>HALLANDS LÄN</t>
        </is>
      </c>
      <c r="G643" t="inlineStr">
        <is>
          <t>FALKENBERG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46319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19312-2022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44692</v>
      </c>
      <c r="E645" s="1" t="n">
        <v>46319</v>
      </c>
      <c r="F645" t="inlineStr">
        <is>
          <t>HALLANDS LÄN</t>
        </is>
      </c>
      <c r="G645" t="inlineStr">
        <is>
          <t>FALKENBERG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45560</v>
      </c>
      <c r="E646" s="1" t="n">
        <v>46319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49609-2023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45211</v>
      </c>
      <c r="E647" s="1" t="n">
        <v>46319</v>
      </c>
      <c r="F647" t="inlineStr">
        <is>
          <t>HALLANDS LÄN</t>
        </is>
      </c>
      <c r="G647" t="inlineStr">
        <is>
          <t>FALKENBERG</t>
        </is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41425-2023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46319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44970</v>
      </c>
      <c r="E649" s="1" t="n">
        <v>46319</v>
      </c>
      <c r="F649" t="inlineStr">
        <is>
          <t>HALLANDS LÄN</t>
        </is>
      </c>
      <c r="G649" t="inlineStr">
        <is>
          <t>FALKENBERG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46319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951-2022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44608</v>
      </c>
      <c r="E651" s="1" t="n">
        <v>46319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46319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46319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46319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4323-2023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45261</v>
      </c>
      <c r="E655" s="1" t="n">
        <v>46319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46319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46319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46319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46319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46319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46319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46319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46319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46319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46319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46319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46319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46319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46319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46319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46319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46319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46319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46319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46319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46319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46319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46319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46319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46319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46319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46319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46319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46319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46319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2663-2026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46308</v>
      </c>
      <c r="E686" s="1" t="n">
        <v>46319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2026-10-24T02:04:13Z</dcterms:created>
  <dcterms:modified xmlns:dcterms="http://purl.org/dc/terms/" xmlns:xsi="http://www.w3.org/2001/XMLSchema-instance" xsi:type="dcterms:W3CDTF">2026-10-24T02:04:14Z</dcterms:modified>
</cp:coreProperties>
</file>