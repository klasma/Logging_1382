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46235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46235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46235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46235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46235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46235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46235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46235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46235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46235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46235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46235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Vedlavklubba
Skuggmossa</t>
        </is>
      </c>
      <c r="W14">
        <f>HYPERLINK("https://klasma.github.io/Logging_1382/artfynd/A 9328-2022 artfynd.xlsx", "A 9328-2022")</f>
        <v/>
      </c>
      <c r="X14">
        <f>HYPERLINK("https://klasma.github.io/Logging_1382/kartor/A 9328-2022 karta.png", "A 9328-2022")</f>
        <v/>
      </c>
      <c r="Y14">
        <f>HYPERLINK("https://klasma.github.io/Logging_1382/kartor_geotiff/A 9328-2022 georefererad karta.tif", "A 9328-2022")</f>
        <v/>
      </c>
      <c r="AA14">
        <f>HYPERLINK("https://klasma.github.io/Logging_1382/klagomål/A 9328-2022 FSC-klagomål.docx", "A 9328-2022")</f>
        <v/>
      </c>
      <c r="AB14">
        <f>HYPERLINK("https://klasma.github.io/Logging_1382/klagomålsmail/A 9328-2022 FSC-klagomål mail.docx", "A 9328-2022")</f>
        <v/>
      </c>
      <c r="AC14">
        <f>HYPERLINK("https://klasma.github.io/Logging_1382/tillsyn/A 9328-2022 tillsynsbegäran.docx", "A 9328-2022")</f>
        <v/>
      </c>
      <c r="AD14">
        <f>HYPERLINK("https://klasma.github.io/Logging_1382/tillsynsmail/A 9328-2022 tillsynsbegäran mail.docx", "A 9328-2022")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46235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20935-2026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46142</v>
      </c>
      <c r="E16" s="1" t="n">
        <v>46235</v>
      </c>
      <c r="F16" t="inlineStr">
        <is>
          <t>HALLANDS LÄN</t>
        </is>
      </c>
      <c r="G16" t="inlineStr">
        <is>
          <t>FALKENBERG</t>
        </is>
      </c>
      <c r="I16" t="n">
        <v>9.800000000000001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2</v>
      </c>
      <c r="V16" s="2" t="inlineStr">
        <is>
          <t>Bokvårtlav
Platt fjädermossa</t>
        </is>
      </c>
      <c r="W16">
        <f>HYPERLINK("https://klasma.github.io/Logging_1382/artfynd/A 20935-2026 artfynd.xlsx", "A 20935-2026")</f>
        <v/>
      </c>
      <c r="X16">
        <f>HYPERLINK("https://klasma.github.io/Logging_1382/kartor/A 20935-2026 karta.png", "A 20935-2026")</f>
        <v/>
      </c>
      <c r="Y16">
        <f>HYPERLINK("https://klasma.github.io/Logging_1382/kartor_geotiff/A 20935-2026 georefererad karta.tif", "A 20935-2026")</f>
        <v/>
      </c>
      <c r="AA16">
        <f>HYPERLINK("https://klasma.github.io/Logging_1382/klagomål/A 20935-2026 FSC-klagomål.docx", "A 20935-2026")</f>
        <v/>
      </c>
      <c r="AB16">
        <f>HYPERLINK("https://klasma.github.io/Logging_1382/klagomålsmail/A 20935-2026 FSC-klagomål mail.docx", "A 20935-2026")</f>
        <v/>
      </c>
      <c r="AC16">
        <f>HYPERLINK("https://klasma.github.io/Logging_1382/tillsyn/A 20935-2026 tillsynsbegäran.docx", "A 20935-2026")</f>
        <v/>
      </c>
      <c r="AD16">
        <f>HYPERLINK("https://klasma.github.io/Logging_1382/tillsynsmail/A 20935-2026 tillsynsbegäran mail.docx", "A 20935-2026")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46235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46235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46235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46235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46235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46235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46235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46235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58534-2022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44902</v>
      </c>
      <c r="E25" s="1" t="n">
        <v>46235</v>
      </c>
      <c r="F25" t="inlineStr">
        <is>
          <t>HALLANDS LÄN</t>
        </is>
      </c>
      <c r="G25" t="inlineStr">
        <is>
          <t>FALKENBERG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58534-2022 artfynd.xlsx", "A 58534-2022")</f>
        <v/>
      </c>
      <c r="X25">
        <f>HYPERLINK("https://klasma.github.io/Logging_1382/kartor/A 58534-2022 karta.png", "A 58534-2022")</f>
        <v/>
      </c>
      <c r="Y25">
        <f>HYPERLINK("https://klasma.github.io/Logging_1382/kartor_geotiff/A 58534-2022 georefererad karta.tif", "A 58534-2022")</f>
        <v/>
      </c>
      <c r="AA25">
        <f>HYPERLINK("https://klasma.github.io/Logging_1382/klagomål/A 58534-2022 FSC-klagomål.docx", "A 58534-2022")</f>
        <v/>
      </c>
      <c r="AB25">
        <f>HYPERLINK("https://klasma.github.io/Logging_1382/klagomålsmail/A 58534-2022 FSC-klagomål mail.docx", "A 58534-2022")</f>
        <v/>
      </c>
      <c r="AC25">
        <f>HYPERLINK("https://klasma.github.io/Logging_1382/tillsyn/A 58534-2022 tillsynsbegäran.docx", "A 58534-2022")</f>
        <v/>
      </c>
      <c r="AD25">
        <f>HYPERLINK("https://klasma.github.io/Logging_1382/tillsynsmail/A 58534-2022 tillsynsbegäran mail.docx", "A 58534-2022")</f>
        <v/>
      </c>
    </row>
    <row r="26" ht="15" customHeight="1">
      <c r="A26" t="inlineStr">
        <is>
          <t>A 66137-2021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46235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HYPERLINK("https://klasma.github.io/Logging_1382/artfynd/A 66137-2021 artfynd.xlsx", "A 66137-2021")</f>
        <v/>
      </c>
      <c r="X26">
        <f>HYPERLINK("https://klasma.github.io/Logging_1382/kartor/A 66137-2021 karta.png", "A 66137-2021")</f>
        <v/>
      </c>
      <c r="Y26">
        <f>HYPERLINK("https://klasma.github.io/Logging_1382/kartor_geotiff/A 66137-2021 georefererad karta.tif", "A 66137-2021")</f>
        <v/>
      </c>
      <c r="AA26">
        <f>HYPERLINK("https://klasma.github.io/Logging_1382/klagomål/A 66137-2021 FSC-klagomål.docx", "A 66137-2021")</f>
        <v/>
      </c>
      <c r="AB26">
        <f>HYPERLINK("https://klasma.github.io/Logging_1382/klagomålsmail/A 66137-2021 FSC-klagomål mail.docx", "A 66137-2021")</f>
        <v/>
      </c>
      <c r="AC26">
        <f>HYPERLINK("https://klasma.github.io/Logging_1382/tillsyn/A 66137-2021 tillsynsbegäran.docx", "A 66137-2021")</f>
        <v/>
      </c>
      <c r="AD26">
        <f>HYPERLINK("https://klasma.github.io/Logging_1382/tillsynsmail/A 66137-2021 tillsynsbegäran mail.docx", "A 66137-2021")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46235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46235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46235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46235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46235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46235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46235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41802-2024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46235</v>
      </c>
      <c r="F34" t="inlineStr">
        <is>
          <t>HALLANDS LÄN</t>
        </is>
      </c>
      <c r="G34" t="inlineStr">
        <is>
          <t>FALKENBERG</t>
        </is>
      </c>
      <c r="I34" t="n">
        <v>1.6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HYPERLINK("https://klasma.github.io/Logging_1382/artfynd/A 41802-2024 artfynd.xlsx", "A 41802-2024")</f>
        <v/>
      </c>
      <c r="X34">
        <f>HYPERLINK("https://klasma.github.io/Logging_1382/kartor/A 41802-2024 karta.png", "A 41802-2024")</f>
        <v/>
      </c>
      <c r="Y34">
        <f>HYPERLINK("https://klasma.github.io/Logging_1382/kartor_geotiff/A 41802-2024 georefererad karta.tif", "A 41802-2024")</f>
        <v/>
      </c>
      <c r="AA34">
        <f>HYPERLINK("https://klasma.github.io/Logging_1382/klagomål/A 41802-2024 FSC-klagomål.docx", "A 41802-2024")</f>
        <v/>
      </c>
      <c r="AB34">
        <f>HYPERLINK("https://klasma.github.io/Logging_1382/klagomålsmail/A 41802-2024 FSC-klagomål mail.docx", "A 41802-2024")</f>
        <v/>
      </c>
      <c r="AC34">
        <f>HYPERLINK("https://klasma.github.io/Logging_1382/tillsyn/A 41802-2024 tillsynsbegäran.docx", "A 41802-2024")</f>
        <v/>
      </c>
      <c r="AD34">
        <f>HYPERLINK("https://klasma.github.io/Logging_1382/tillsynsmail/A 41802-2024 tillsynsbegäran mail.docx", "A 41802-2024")</f>
        <v/>
      </c>
    </row>
    <row r="35" ht="15" customHeight="1">
      <c r="A35" t="inlineStr">
        <is>
          <t>A 7696-2023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46235</v>
      </c>
      <c r="F35" t="inlineStr">
        <is>
          <t>HALLANDS LÄN</t>
        </is>
      </c>
      <c r="G35" t="inlineStr">
        <is>
          <t>FALKENBERG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HYPERLINK("https://klasma.github.io/Logging_1382/artfynd/A 7696-2023 artfynd.xlsx", "A 7696-2023")</f>
        <v/>
      </c>
      <c r="X35">
        <f>HYPERLINK("https://klasma.github.io/Logging_1382/kartor/A 7696-2023 karta.png", "A 7696-2023")</f>
        <v/>
      </c>
      <c r="Y35">
        <f>HYPERLINK("https://klasma.github.io/Logging_1382/kartor_geotiff/A 7696-2023 georefererad karta.tif", "A 7696-2023")</f>
        <v/>
      </c>
      <c r="AA35">
        <f>HYPERLINK("https://klasma.github.io/Logging_1382/klagomål/A 7696-2023 FSC-klagomål.docx", "A 7696-2023")</f>
        <v/>
      </c>
      <c r="AB35">
        <f>HYPERLINK("https://klasma.github.io/Logging_1382/klagomålsmail/A 7696-2023 FSC-klagomål mail.docx", "A 7696-2023")</f>
        <v/>
      </c>
      <c r="AC35">
        <f>HYPERLINK("https://klasma.github.io/Logging_1382/tillsyn/A 7696-2023 tillsynsbegäran.docx", "A 7696-2023")</f>
        <v/>
      </c>
      <c r="AD35">
        <f>HYPERLINK("https://klasma.github.io/Logging_1382/tillsynsmail/A 7696-2023 tillsynsbegäran mail.docx", "A 7696-2023")</f>
        <v/>
      </c>
    </row>
    <row r="36" ht="15" customHeight="1">
      <c r="A36" t="inlineStr">
        <is>
          <t>A 46059-2023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46235</v>
      </c>
      <c r="F36" t="inlineStr">
        <is>
          <t>HALLANDS LÄN</t>
        </is>
      </c>
      <c r="G36" t="inlineStr">
        <is>
          <t>FALKENBERG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46059-2023 artfynd.xlsx", "A 46059-2023")</f>
        <v/>
      </c>
      <c r="X36">
        <f>HYPERLINK("https://klasma.github.io/Logging_1382/kartor/A 46059-2023 karta.png", "A 46059-2023")</f>
        <v/>
      </c>
      <c r="Y36">
        <f>HYPERLINK("https://klasma.github.io/Logging_1382/kartor_geotiff/A 46059-2023 georefererad karta.tif", "A 46059-2023")</f>
        <v/>
      </c>
      <c r="AA36">
        <f>HYPERLINK("https://klasma.github.io/Logging_1382/klagomål/A 46059-2023 FSC-klagomål.docx", "A 46059-2023")</f>
        <v/>
      </c>
      <c r="AB36">
        <f>HYPERLINK("https://klasma.github.io/Logging_1382/klagomålsmail/A 46059-2023 FSC-klagomål mail.docx", "A 46059-2023")</f>
        <v/>
      </c>
      <c r="AC36">
        <f>HYPERLINK("https://klasma.github.io/Logging_1382/tillsyn/A 46059-2023 tillsynsbegäran.docx", "A 46059-2023")</f>
        <v/>
      </c>
      <c r="AD36">
        <f>HYPERLINK("https://klasma.github.io/Logging_1382/tillsynsmail/A 46059-2023 tillsynsbegäran mail.docx", "A 46059-2023")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46235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46235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46235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46235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46235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46235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46235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46235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46235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46235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46235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46235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46235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46235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46235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46235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46235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46235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46235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46235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46235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46235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46235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46235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46235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46235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46235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46235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46235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46235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46235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46235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46235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46235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46235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46235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46235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46235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46235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46235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46235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46235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46235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46235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46235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46235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46235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46235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46235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46235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46235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46235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46235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46235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46235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46235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46235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46235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46235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46235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46235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46235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44425</v>
      </c>
      <c r="E99" s="1" t="n">
        <v>46235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46235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46235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46235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46235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46235</v>
      </c>
      <c r="F104" t="inlineStr">
        <is>
          <t>HALLANDS LÄN</t>
        </is>
      </c>
      <c r="G104" t="inlineStr">
        <is>
          <t>FALKENBERG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46235</v>
      </c>
      <c r="F105" t="inlineStr">
        <is>
          <t>HALLANDS LÄN</t>
        </is>
      </c>
      <c r="G105" t="inlineStr">
        <is>
          <t>FALKENBERG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46235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44803</v>
      </c>
      <c r="E107" s="1" t="n">
        <v>46235</v>
      </c>
      <c r="F107" t="inlineStr">
        <is>
          <t>HALLANDS LÄN</t>
        </is>
      </c>
      <c r="G107" t="inlineStr">
        <is>
          <t>FALKENBERG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46235</v>
      </c>
      <c r="F108" t="inlineStr">
        <is>
          <t>HALLANDS LÄN</t>
        </is>
      </c>
      <c r="G108" t="inlineStr">
        <is>
          <t>FALKENBERG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52477-2021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44466</v>
      </c>
      <c r="E109" s="1" t="n">
        <v>46235</v>
      </c>
      <c r="F109" t="inlineStr">
        <is>
          <t>HALLANDS LÄN</t>
        </is>
      </c>
      <c r="G109" t="inlineStr">
        <is>
          <t>FALKENBERG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46235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46235</v>
      </c>
      <c r="F111" t="inlineStr">
        <is>
          <t>HALLANDS LÄN</t>
        </is>
      </c>
      <c r="G111" t="inlineStr">
        <is>
          <t>FALKENBERG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46235</v>
      </c>
      <c r="F112" t="inlineStr">
        <is>
          <t>HALLANDS LÄN</t>
        </is>
      </c>
      <c r="G112" t="inlineStr">
        <is>
          <t>FALKENBERG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46235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46235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46235</v>
      </c>
      <c r="F115" t="inlineStr">
        <is>
          <t>HALLANDS LÄN</t>
        </is>
      </c>
      <c r="G115" t="inlineStr">
        <is>
          <t>FALKENBERG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46235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46235</v>
      </c>
      <c r="F117" t="inlineStr">
        <is>
          <t>HALLANDS LÄN</t>
        </is>
      </c>
      <c r="G117" t="inlineStr">
        <is>
          <t>FALKENBERG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46235</v>
      </c>
      <c r="F118" t="inlineStr">
        <is>
          <t>HALLANDS LÄN</t>
        </is>
      </c>
      <c r="G118" t="inlineStr">
        <is>
          <t>FALKENBERG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46235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46235</v>
      </c>
      <c r="F120" t="inlineStr">
        <is>
          <t>HALLANDS LÄN</t>
        </is>
      </c>
      <c r="G120" t="inlineStr">
        <is>
          <t>FALKENBERG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44481</v>
      </c>
      <c r="E121" s="1" t="n">
        <v>46235</v>
      </c>
      <c r="F121" t="inlineStr">
        <is>
          <t>HALLANDS LÄN</t>
        </is>
      </c>
      <c r="G121" t="inlineStr">
        <is>
          <t>FALKENBERG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46235</v>
      </c>
      <c r="F122" t="inlineStr">
        <is>
          <t>HALLANDS LÄN</t>
        </is>
      </c>
      <c r="G122" t="inlineStr">
        <is>
          <t>FALKENBERG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72277-2021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44545</v>
      </c>
      <c r="E123" s="1" t="n">
        <v>46235</v>
      </c>
      <c r="F123" t="inlineStr">
        <is>
          <t>HALLANDS LÄN</t>
        </is>
      </c>
      <c r="G123" t="inlineStr">
        <is>
          <t>FALKENBERG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46235</v>
      </c>
      <c r="F124" t="inlineStr">
        <is>
          <t>HALLANDS LÄN</t>
        </is>
      </c>
      <c r="G124" t="inlineStr">
        <is>
          <t>FALKENBERG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45247</v>
      </c>
      <c r="E125" s="1" t="n">
        <v>46235</v>
      </c>
      <c r="F125" t="inlineStr">
        <is>
          <t>HALLANDS LÄN</t>
        </is>
      </c>
      <c r="G125" t="inlineStr">
        <is>
          <t>FALKENBERG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46235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46235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46235</v>
      </c>
      <c r="F128" t="inlineStr">
        <is>
          <t>HALLANDS LÄN</t>
        </is>
      </c>
      <c r="G128" t="inlineStr">
        <is>
          <t>FALKENBERG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46235</v>
      </c>
      <c r="F129" t="inlineStr">
        <is>
          <t>HALLANDS LÄN</t>
        </is>
      </c>
      <c r="G129" t="inlineStr">
        <is>
          <t>FALKENBERG</t>
        </is>
      </c>
      <c r="H129" t="inlineStr">
        <is>
          <t>Kommuner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46235</v>
      </c>
      <c r="F130" t="inlineStr">
        <is>
          <t>HALLANDS LÄN</t>
        </is>
      </c>
      <c r="G130" t="inlineStr">
        <is>
          <t>FALKENBERG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46235</v>
      </c>
      <c r="F131" t="inlineStr">
        <is>
          <t>HALLANDS LÄN</t>
        </is>
      </c>
      <c r="G131" t="inlineStr">
        <is>
          <t>FALKENBERG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45300</v>
      </c>
      <c r="E132" s="1" t="n">
        <v>46235</v>
      </c>
      <c r="F132" t="inlineStr">
        <is>
          <t>HALLANDS LÄN</t>
        </is>
      </c>
      <c r="G132" t="inlineStr">
        <is>
          <t>FALKENBERG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46235</v>
      </c>
      <c r="F133" t="inlineStr">
        <is>
          <t>HALLANDS LÄN</t>
        </is>
      </c>
      <c r="G133" t="inlineStr">
        <is>
          <t>FALKENBERG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46235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71732-2021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46235</v>
      </c>
      <c r="F135" t="inlineStr">
        <is>
          <t>HALLANDS LÄN</t>
        </is>
      </c>
      <c r="G135" t="inlineStr">
        <is>
          <t>FALKENBERG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46235</v>
      </c>
      <c r="F136" t="inlineStr">
        <is>
          <t>HALLANDS LÄN</t>
        </is>
      </c>
      <c r="G136" t="inlineStr">
        <is>
          <t>FALKENBERG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46235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46235</v>
      </c>
      <c r="F138" t="inlineStr">
        <is>
          <t>HALLANDS LÄN</t>
        </is>
      </c>
      <c r="G138" t="inlineStr">
        <is>
          <t>FALKENBERG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45627</v>
      </c>
      <c r="E139" s="1" t="n">
        <v>46235</v>
      </c>
      <c r="F139" t="inlineStr">
        <is>
          <t>HALLANDS LÄN</t>
        </is>
      </c>
      <c r="G139" t="inlineStr">
        <is>
          <t>FALKENBERG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46235</v>
      </c>
      <c r="F140" t="inlineStr">
        <is>
          <t>HALLANDS LÄN</t>
        </is>
      </c>
      <c r="G140" t="inlineStr">
        <is>
          <t>FALKENBERG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46235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46235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46235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46235</v>
      </c>
      <c r="F144" t="inlineStr">
        <is>
          <t>HALLANDS LÄN</t>
        </is>
      </c>
      <c r="G144" t="inlineStr">
        <is>
          <t>FALKENBERG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46235</v>
      </c>
      <c r="F145" t="inlineStr">
        <is>
          <t>HALLANDS LÄN</t>
        </is>
      </c>
      <c r="G145" t="inlineStr">
        <is>
          <t>FALKENBERG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45212</v>
      </c>
      <c r="E146" s="1" t="n">
        <v>46235</v>
      </c>
      <c r="F146" t="inlineStr">
        <is>
          <t>HALLANDS LÄN</t>
        </is>
      </c>
      <c r="G146" t="inlineStr">
        <is>
          <t>FALKENBERG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46235</v>
      </c>
      <c r="F147" t="inlineStr">
        <is>
          <t>HALLANDS LÄN</t>
        </is>
      </c>
      <c r="G147" t="inlineStr">
        <is>
          <t>FALKENBERG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46235</v>
      </c>
      <c r="F148" t="inlineStr">
        <is>
          <t>HALLANDS LÄN</t>
        </is>
      </c>
      <c r="G148" t="inlineStr">
        <is>
          <t>FALKENBERG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44602</v>
      </c>
      <c r="E149" s="1" t="n">
        <v>46235</v>
      </c>
      <c r="F149" t="inlineStr">
        <is>
          <t>HALLANDS LÄN</t>
        </is>
      </c>
      <c r="G149" t="inlineStr">
        <is>
          <t>FALKENBERG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46235</v>
      </c>
      <c r="F150" t="inlineStr">
        <is>
          <t>HALLANDS LÄN</t>
        </is>
      </c>
      <c r="G150" t="inlineStr">
        <is>
          <t>FALKENBERG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46235</v>
      </c>
      <c r="F151" t="inlineStr">
        <is>
          <t>HALLANDS LÄN</t>
        </is>
      </c>
      <c r="G151" t="inlineStr">
        <is>
          <t>FALKENBERG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46235</v>
      </c>
      <c r="F152" t="inlineStr">
        <is>
          <t>HALLANDS LÄN</t>
        </is>
      </c>
      <c r="G152" t="inlineStr">
        <is>
          <t>FALKENBERG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45400</v>
      </c>
      <c r="E153" s="1" t="n">
        <v>46235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46235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46235</v>
      </c>
      <c r="F155" t="inlineStr">
        <is>
          <t>HALLANDS LÄN</t>
        </is>
      </c>
      <c r="G155" t="inlineStr">
        <is>
          <t>FALKENBERG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46235</v>
      </c>
      <c r="F156" t="inlineStr">
        <is>
          <t>HALLANDS LÄN</t>
        </is>
      </c>
      <c r="G156" t="inlineStr">
        <is>
          <t>FALKENBERG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45345</v>
      </c>
      <c r="E157" s="1" t="n">
        <v>46235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61546-2022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44916</v>
      </c>
      <c r="E158" s="1" t="n">
        <v>46235</v>
      </c>
      <c r="F158" t="inlineStr">
        <is>
          <t>HALLANDS LÄN</t>
        </is>
      </c>
      <c r="G158" t="inlineStr">
        <is>
          <t>FALKENBERG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44576</v>
      </c>
      <c r="E159" s="1" t="n">
        <v>46235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46235</v>
      </c>
      <c r="F160" t="inlineStr">
        <is>
          <t>HALLANDS LÄN</t>
        </is>
      </c>
      <c r="G160" t="inlineStr">
        <is>
          <t>FALKENBERG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46235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46235</v>
      </c>
      <c r="F162" t="inlineStr">
        <is>
          <t>HALLANDS LÄN</t>
        </is>
      </c>
      <c r="G162" t="inlineStr">
        <is>
          <t>FALKENBERG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46235</v>
      </c>
      <c r="F163" t="inlineStr">
        <is>
          <t>HALLANDS LÄN</t>
        </is>
      </c>
      <c r="G163" t="inlineStr">
        <is>
          <t>FALKENBERG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46235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46235</v>
      </c>
      <c r="F165" t="inlineStr">
        <is>
          <t>HALLANDS LÄN</t>
        </is>
      </c>
      <c r="G165" t="inlineStr">
        <is>
          <t>FALKENBERG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45357</v>
      </c>
      <c r="E166" s="1" t="n">
        <v>46235</v>
      </c>
      <c r="F166" t="inlineStr">
        <is>
          <t>HALLANDS LÄN</t>
        </is>
      </c>
      <c r="G166" t="inlineStr">
        <is>
          <t>FALKENBERG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46235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46235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44584</v>
      </c>
      <c r="E169" s="1" t="n">
        <v>46235</v>
      </c>
      <c r="F169" t="inlineStr">
        <is>
          <t>HALLANDS LÄN</t>
        </is>
      </c>
      <c r="G169" t="inlineStr">
        <is>
          <t>FALKENBERG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63034-2023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46235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45426</v>
      </c>
      <c r="E171" s="1" t="n">
        <v>46235</v>
      </c>
      <c r="F171" t="inlineStr">
        <is>
          <t>HALLANDS LÄN</t>
        </is>
      </c>
      <c r="G171" t="inlineStr">
        <is>
          <t>FALKENBERG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46235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46235</v>
      </c>
      <c r="F173" t="inlineStr">
        <is>
          <t>HALLANDS LÄN</t>
        </is>
      </c>
      <c r="G173" t="inlineStr">
        <is>
          <t>FALKENBERG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66135-2021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46235</v>
      </c>
      <c r="F174" t="inlineStr">
        <is>
          <t>HALLANDS LÄN</t>
        </is>
      </c>
      <c r="G174" t="inlineStr">
        <is>
          <t>FALKENBERG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45229</v>
      </c>
      <c r="E175" s="1" t="n">
        <v>46235</v>
      </c>
      <c r="F175" t="inlineStr">
        <is>
          <t>HALLANDS LÄN</t>
        </is>
      </c>
      <c r="G175" t="inlineStr">
        <is>
          <t>FALKENBERG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46235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45182</v>
      </c>
      <c r="E177" s="1" t="n">
        <v>46235</v>
      </c>
      <c r="F177" t="inlineStr">
        <is>
          <t>HALLANDS LÄN</t>
        </is>
      </c>
      <c r="G177" t="inlineStr">
        <is>
          <t>FALKENBERG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46235</v>
      </c>
      <c r="F178" t="inlineStr">
        <is>
          <t>HALLANDS LÄN</t>
        </is>
      </c>
      <c r="G178" t="inlineStr">
        <is>
          <t>FALKENBERG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46235</v>
      </c>
      <c r="F179" t="inlineStr">
        <is>
          <t>HALLANDS LÄN</t>
        </is>
      </c>
      <c r="G179" t="inlineStr">
        <is>
          <t>FALKENBERG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45391</v>
      </c>
      <c r="E180" s="1" t="n">
        <v>46235</v>
      </c>
      <c r="F180" t="inlineStr">
        <is>
          <t>HALLANDS LÄN</t>
        </is>
      </c>
      <c r="G180" t="inlineStr">
        <is>
          <t>FALKENBERG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46235</v>
      </c>
      <c r="F181" t="inlineStr">
        <is>
          <t>HALLANDS LÄN</t>
        </is>
      </c>
      <c r="G181" t="inlineStr">
        <is>
          <t>FALKENBERG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46235</v>
      </c>
      <c r="F182" t="inlineStr">
        <is>
          <t>HALLANDS LÄN</t>
        </is>
      </c>
      <c r="G182" t="inlineStr">
        <is>
          <t>FALKENBERG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46235</v>
      </c>
      <c r="F183" t="inlineStr">
        <is>
          <t>HALLANDS LÄN</t>
        </is>
      </c>
      <c r="G183" t="inlineStr">
        <is>
          <t>FALKENBERG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46235</v>
      </c>
      <c r="F184" t="inlineStr">
        <is>
          <t>HALLANDS LÄN</t>
        </is>
      </c>
      <c r="G184" t="inlineStr">
        <is>
          <t>FALKENBERG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44908</v>
      </c>
      <c r="E185" s="1" t="n">
        <v>46235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45381</v>
      </c>
      <c r="E186" s="1" t="n">
        <v>46235</v>
      </c>
      <c r="F186" t="inlineStr">
        <is>
          <t>HALLANDS LÄN</t>
        </is>
      </c>
      <c r="G186" t="inlineStr">
        <is>
          <t>FALKENBERG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46235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45350</v>
      </c>
      <c r="E188" s="1" t="n">
        <v>46235</v>
      </c>
      <c r="F188" t="inlineStr">
        <is>
          <t>HALLANDS LÄN</t>
        </is>
      </c>
      <c r="G188" t="inlineStr">
        <is>
          <t>FALKENBERG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46235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46235</v>
      </c>
      <c r="F190" t="inlineStr">
        <is>
          <t>HALLANDS LÄN</t>
        </is>
      </c>
      <c r="G190" t="inlineStr">
        <is>
          <t>FALKENBERG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46235</v>
      </c>
      <c r="F191" t="inlineStr">
        <is>
          <t>HALLANDS LÄN</t>
        </is>
      </c>
      <c r="G191" t="inlineStr">
        <is>
          <t>FALKENBERG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46235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46235</v>
      </c>
      <c r="F193" t="inlineStr">
        <is>
          <t>HALLANDS LÄN</t>
        </is>
      </c>
      <c r="G193" t="inlineStr">
        <is>
          <t>FALKENBERG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46235</v>
      </c>
      <c r="F194" t="inlineStr">
        <is>
          <t>HALLANDS LÄN</t>
        </is>
      </c>
      <c r="G194" t="inlineStr">
        <is>
          <t>FALKENBERG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46235</v>
      </c>
      <c r="F195" t="inlineStr">
        <is>
          <t>HALLANDS LÄN</t>
        </is>
      </c>
      <c r="G195" t="inlineStr">
        <is>
          <t>FALKENBERG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46235</v>
      </c>
      <c r="F196" t="inlineStr">
        <is>
          <t>HALLANDS LÄN</t>
        </is>
      </c>
      <c r="G196" t="inlineStr">
        <is>
          <t>FALKENBERG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46235</v>
      </c>
      <c r="F197" t="inlineStr">
        <is>
          <t>HALLANDS LÄN</t>
        </is>
      </c>
      <c r="G197" t="inlineStr">
        <is>
          <t>FALKENBERG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46235</v>
      </c>
      <c r="F198" t="inlineStr">
        <is>
          <t>HALLANDS LÄN</t>
        </is>
      </c>
      <c r="G198" t="inlineStr">
        <is>
          <t>FALKENBERG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46235</v>
      </c>
      <c r="F199" t="inlineStr">
        <is>
          <t>HALLANDS LÄN</t>
        </is>
      </c>
      <c r="G199" t="inlineStr">
        <is>
          <t>FALKENBERG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46235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53069-2021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44467</v>
      </c>
      <c r="E201" s="1" t="n">
        <v>46235</v>
      </c>
      <c r="F201" t="inlineStr">
        <is>
          <t>HALLANDS LÄN</t>
        </is>
      </c>
      <c r="G201" t="inlineStr">
        <is>
          <t>FALKENBERG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46235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46235</v>
      </c>
      <c r="F203" t="inlineStr">
        <is>
          <t>HALLANDS LÄN</t>
        </is>
      </c>
      <c r="G203" t="inlineStr">
        <is>
          <t>FALKENBERG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45323</v>
      </c>
      <c r="E204" s="1" t="n">
        <v>46235</v>
      </c>
      <c r="F204" t="inlineStr">
        <is>
          <t>HALLANDS LÄN</t>
        </is>
      </c>
      <c r="G204" t="inlineStr">
        <is>
          <t>FALKENBERG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46235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46235</v>
      </c>
      <c r="F206" t="inlineStr">
        <is>
          <t>HALLANDS LÄN</t>
        </is>
      </c>
      <c r="G206" t="inlineStr">
        <is>
          <t>FALKENBERG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46235</v>
      </c>
      <c r="F207" t="inlineStr">
        <is>
          <t>HALLANDS LÄN</t>
        </is>
      </c>
      <c r="G207" t="inlineStr">
        <is>
          <t>FALKENBERG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46235</v>
      </c>
      <c r="F208" t="inlineStr">
        <is>
          <t>HALLANDS LÄN</t>
        </is>
      </c>
      <c r="G208" t="inlineStr">
        <is>
          <t>FALKENBERG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46235</v>
      </c>
      <c r="F209" t="inlineStr">
        <is>
          <t>HALLANDS LÄN</t>
        </is>
      </c>
      <c r="G209" t="inlineStr">
        <is>
          <t>FALKENBERG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46235</v>
      </c>
      <c r="F210" t="inlineStr">
        <is>
          <t>HALLANDS LÄN</t>
        </is>
      </c>
      <c r="G210" t="inlineStr">
        <is>
          <t>FALKENBERG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46235</v>
      </c>
      <c r="F211" t="inlineStr">
        <is>
          <t>HALLANDS LÄN</t>
        </is>
      </c>
      <c r="G211" t="inlineStr">
        <is>
          <t>FALKENBERG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45670</v>
      </c>
      <c r="E212" s="1" t="n">
        <v>46235</v>
      </c>
      <c r="F212" t="inlineStr">
        <is>
          <t>HALLANDS LÄN</t>
        </is>
      </c>
      <c r="G212" t="inlineStr">
        <is>
          <t>FALKENBERG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46235</v>
      </c>
      <c r="F213" t="inlineStr">
        <is>
          <t>HALLANDS LÄN</t>
        </is>
      </c>
      <c r="G213" t="inlineStr">
        <is>
          <t>FALKENBERG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46235</v>
      </c>
      <c r="F214" t="inlineStr">
        <is>
          <t>HALLANDS LÄN</t>
        </is>
      </c>
      <c r="G214" t="inlineStr">
        <is>
          <t>FALKENBERG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46235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44963-2024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46235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46235</v>
      </c>
      <c r="F217" t="inlineStr">
        <is>
          <t>HALLANDS LÄN</t>
        </is>
      </c>
      <c r="G217" t="inlineStr">
        <is>
          <t>FALKENBERG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46235</v>
      </c>
      <c r="F218" t="inlineStr">
        <is>
          <t>HALLANDS LÄN</t>
        </is>
      </c>
      <c r="G218" t="inlineStr">
        <is>
          <t>FALKENBERG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42678-2025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46235</v>
      </c>
      <c r="F219" t="inlineStr">
        <is>
          <t>HALLANDS LÄN</t>
        </is>
      </c>
      <c r="G219" t="inlineStr">
        <is>
          <t>FALKENBERG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44656</v>
      </c>
      <c r="E220" s="1" t="n">
        <v>46235</v>
      </c>
      <c r="F220" t="inlineStr">
        <is>
          <t>HALLANDS LÄN</t>
        </is>
      </c>
      <c r="G220" t="inlineStr">
        <is>
          <t>FALKENBERG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46235</v>
      </c>
      <c r="F221" t="inlineStr">
        <is>
          <t>HALLANDS LÄN</t>
        </is>
      </c>
      <c r="G221" t="inlineStr">
        <is>
          <t>FALKENBERG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46235</v>
      </c>
      <c r="F222" t="inlineStr">
        <is>
          <t>HALLANDS LÄN</t>
        </is>
      </c>
      <c r="G222" t="inlineStr">
        <is>
          <t>FALKENBERG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8349-2022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44610</v>
      </c>
      <c r="E223" s="1" t="n">
        <v>46235</v>
      </c>
      <c r="F223" t="inlineStr">
        <is>
          <t>HALLANDS LÄN</t>
        </is>
      </c>
      <c r="G223" t="inlineStr">
        <is>
          <t>FALKENBERG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45914</v>
      </c>
      <c r="E224" s="1" t="n">
        <v>46235</v>
      </c>
      <c r="F224" t="inlineStr">
        <is>
          <t>HALLANDS LÄN</t>
        </is>
      </c>
      <c r="G224" t="inlineStr">
        <is>
          <t>FALKENBERG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46235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20546-2023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45055</v>
      </c>
      <c r="E226" s="1" t="n">
        <v>46235</v>
      </c>
      <c r="F226" t="inlineStr">
        <is>
          <t>HALLANDS LÄN</t>
        </is>
      </c>
      <c r="G226" t="inlineStr">
        <is>
          <t>FALKENBERG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45914</v>
      </c>
      <c r="E227" s="1" t="n">
        <v>46235</v>
      </c>
      <c r="F227" t="inlineStr">
        <is>
          <t>HALLANDS LÄN</t>
        </is>
      </c>
      <c r="G227" t="inlineStr">
        <is>
          <t>FALKENBERG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45575</v>
      </c>
      <c r="E228" s="1" t="n">
        <v>46235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46235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46235</v>
      </c>
      <c r="F230" t="inlineStr">
        <is>
          <t>HALLANDS LÄN</t>
        </is>
      </c>
      <c r="G230" t="inlineStr">
        <is>
          <t>FALKENBERG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46235</v>
      </c>
      <c r="F231" t="inlineStr">
        <is>
          <t>HALLANDS LÄN</t>
        </is>
      </c>
      <c r="G231" t="inlineStr">
        <is>
          <t>FALKENBERG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46235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46235</v>
      </c>
      <c r="F233" t="inlineStr">
        <is>
          <t>HALLANDS LÄN</t>
        </is>
      </c>
      <c r="G233" t="inlineStr">
        <is>
          <t>FALKENBERG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46235</v>
      </c>
      <c r="F234" t="inlineStr">
        <is>
          <t>HALLANDS LÄN</t>
        </is>
      </c>
      <c r="G234" t="inlineStr">
        <is>
          <t>FALKENBERG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46235</v>
      </c>
      <c r="F235" t="inlineStr">
        <is>
          <t>HALLANDS LÄN</t>
        </is>
      </c>
      <c r="G235" t="inlineStr">
        <is>
          <t>FALKENBERG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46235</v>
      </c>
      <c r="F236" t="inlineStr">
        <is>
          <t>HALLANDS LÄN</t>
        </is>
      </c>
      <c r="G236" t="inlineStr">
        <is>
          <t>FALKENBERG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46235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46235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46235</v>
      </c>
      <c r="F239" t="inlineStr">
        <is>
          <t>HALLANDS LÄN</t>
        </is>
      </c>
      <c r="G239" t="inlineStr">
        <is>
          <t>FALKENBERG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46235</v>
      </c>
      <c r="F240" t="inlineStr">
        <is>
          <t>HALLANDS LÄN</t>
        </is>
      </c>
      <c r="G240" t="inlineStr">
        <is>
          <t>FALKENBERG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46235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46235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46235</v>
      </c>
      <c r="F243" t="inlineStr">
        <is>
          <t>HALLANDS LÄN</t>
        </is>
      </c>
      <c r="G243" t="inlineStr">
        <is>
          <t>FALKENBERG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46235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46235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46235</v>
      </c>
      <c r="F246" t="inlineStr">
        <is>
          <t>HALLANDS LÄN</t>
        </is>
      </c>
      <c r="G246" t="inlineStr">
        <is>
          <t>FALKENBERG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46235</v>
      </c>
      <c r="F247" t="inlineStr">
        <is>
          <t>HALLANDS LÄN</t>
        </is>
      </c>
      <c r="G247" t="inlineStr">
        <is>
          <t>FALKENBERG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46235</v>
      </c>
      <c r="F248" t="inlineStr">
        <is>
          <t>HALLANDS LÄN</t>
        </is>
      </c>
      <c r="G248" t="inlineStr">
        <is>
          <t>FALKENBERG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46235</v>
      </c>
      <c r="F249" t="inlineStr">
        <is>
          <t>HALLANDS LÄN</t>
        </is>
      </c>
      <c r="G249" t="inlineStr">
        <is>
          <t>FALKENBERG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46235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46235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46235</v>
      </c>
      <c r="F252" t="inlineStr">
        <is>
          <t>HALLANDS LÄN</t>
        </is>
      </c>
      <c r="G252" t="inlineStr">
        <is>
          <t>FALKENBERG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46235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45667</v>
      </c>
      <c r="E254" s="1" t="n">
        <v>46235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46235</v>
      </c>
      <c r="F255" t="inlineStr">
        <is>
          <t>HALLANDS LÄN</t>
        </is>
      </c>
      <c r="G255" t="inlineStr">
        <is>
          <t>FALKENBERG</t>
        </is>
      </c>
      <c r="H255" t="inlineStr">
        <is>
          <t>Kyrkan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21008-2026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46142</v>
      </c>
      <c r="E256" s="1" t="n">
        <v>46235</v>
      </c>
      <c r="F256" t="inlineStr">
        <is>
          <t>HALLANDS LÄN</t>
        </is>
      </c>
      <c r="G256" t="inlineStr">
        <is>
          <t>FALKENBERG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45076</v>
      </c>
      <c r="E257" s="1" t="n">
        <v>46235</v>
      </c>
      <c r="F257" t="inlineStr">
        <is>
          <t>HALLANDS LÄN</t>
        </is>
      </c>
      <c r="G257" t="inlineStr">
        <is>
          <t>FALKENBERG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46235</v>
      </c>
      <c r="F258" t="inlineStr">
        <is>
          <t>HALLANDS LÄN</t>
        </is>
      </c>
      <c r="G258" t="inlineStr">
        <is>
          <t>FALKENBERG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46235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46235</v>
      </c>
      <c r="F260" t="inlineStr">
        <is>
          <t>HALLANDS LÄN</t>
        </is>
      </c>
      <c r="G260" t="inlineStr">
        <is>
          <t>FALKENBERG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46235</v>
      </c>
      <c r="F261" t="inlineStr">
        <is>
          <t>HALLANDS LÄN</t>
        </is>
      </c>
      <c r="G261" t="inlineStr">
        <is>
          <t>FALKENBERG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49761-2025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46235</v>
      </c>
      <c r="F262" t="inlineStr">
        <is>
          <t>HALLANDS LÄN</t>
        </is>
      </c>
      <c r="G262" t="inlineStr">
        <is>
          <t>FALKENBERG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46235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46235</v>
      </c>
      <c r="F264" t="inlineStr">
        <is>
          <t>HALLANDS LÄN</t>
        </is>
      </c>
      <c r="G264" t="inlineStr">
        <is>
          <t>FALKENBERG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46235</v>
      </c>
      <c r="F265" t="inlineStr">
        <is>
          <t>HALLANDS LÄN</t>
        </is>
      </c>
      <c r="G265" t="inlineStr">
        <is>
          <t>FALKENBERG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46235</v>
      </c>
      <c r="F266" t="inlineStr">
        <is>
          <t>HALLANDS LÄN</t>
        </is>
      </c>
      <c r="G266" t="inlineStr">
        <is>
          <t>FALKENBERG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46235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46235</v>
      </c>
      <c r="F268" t="inlineStr">
        <is>
          <t>HALLANDS LÄN</t>
        </is>
      </c>
      <c r="G268" t="inlineStr">
        <is>
          <t>FALKENBERG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46235</v>
      </c>
      <c r="F269" t="inlineStr">
        <is>
          <t>HALLANDS LÄN</t>
        </is>
      </c>
      <c r="G269" t="inlineStr">
        <is>
          <t>FALKENBERG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46235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46235</v>
      </c>
      <c r="F271" t="inlineStr">
        <is>
          <t>HALLANDS LÄN</t>
        </is>
      </c>
      <c r="G271" t="inlineStr">
        <is>
          <t>FALKENBERG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46235</v>
      </c>
      <c r="F272" t="inlineStr">
        <is>
          <t>HALLANDS LÄN</t>
        </is>
      </c>
      <c r="G272" t="inlineStr">
        <is>
          <t>FALKENBERG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38462-2024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45546</v>
      </c>
      <c r="E273" s="1" t="n">
        <v>46235</v>
      </c>
      <c r="F273" t="inlineStr">
        <is>
          <t>HALLANDS LÄN</t>
        </is>
      </c>
      <c r="G273" t="inlineStr">
        <is>
          <t>FALKENBERG</t>
        </is>
      </c>
      <c r="H273" t="inlineStr">
        <is>
          <t>Kyrkan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46235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46235</v>
      </c>
      <c r="F275" t="inlineStr">
        <is>
          <t>HALLANDS LÄN</t>
        </is>
      </c>
      <c r="G275" t="inlineStr">
        <is>
          <t>FALKENBERG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46235</v>
      </c>
      <c r="F276" t="inlineStr">
        <is>
          <t>HALLANDS LÄN</t>
        </is>
      </c>
      <c r="G276" t="inlineStr">
        <is>
          <t>FALKENBERG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46235</v>
      </c>
      <c r="F277" t="inlineStr">
        <is>
          <t>HALLANDS LÄN</t>
        </is>
      </c>
      <c r="G277" t="inlineStr">
        <is>
          <t>FALKENBERG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46235</v>
      </c>
      <c r="F278" t="inlineStr">
        <is>
          <t>HALLANDS LÄN</t>
        </is>
      </c>
      <c r="G278" t="inlineStr">
        <is>
          <t>FALKENBERG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46235</v>
      </c>
      <c r="F279" t="inlineStr">
        <is>
          <t>HALLANDS LÄN</t>
        </is>
      </c>
      <c r="G279" t="inlineStr">
        <is>
          <t>FALKENBERG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46235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43131-2021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44431</v>
      </c>
      <c r="E281" s="1" t="n">
        <v>46235</v>
      </c>
      <c r="F281" t="inlineStr">
        <is>
          <t>HALLANDS LÄN</t>
        </is>
      </c>
      <c r="G281" t="inlineStr">
        <is>
          <t>FALKENBERG</t>
        </is>
      </c>
      <c r="H281" t="inlineStr">
        <is>
          <t>Bergvik skog väst AB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46235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46235</v>
      </c>
      <c r="F283" t="inlineStr">
        <is>
          <t>HALLANDS LÄN</t>
        </is>
      </c>
      <c r="G283" t="inlineStr">
        <is>
          <t>FALKENBERG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46235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46235</v>
      </c>
      <c r="F285" t="inlineStr">
        <is>
          <t>HALLANDS LÄN</t>
        </is>
      </c>
      <c r="G285" t="inlineStr">
        <is>
          <t>FALKENBERG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45950</v>
      </c>
      <c r="E286" s="1" t="n">
        <v>46235</v>
      </c>
      <c r="F286" t="inlineStr">
        <is>
          <t>HALLANDS LÄN</t>
        </is>
      </c>
      <c r="G286" t="inlineStr">
        <is>
          <t>FALKENBERG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46235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46235</v>
      </c>
      <c r="F288" t="inlineStr">
        <is>
          <t>HALLANDS LÄN</t>
        </is>
      </c>
      <c r="G288" t="inlineStr">
        <is>
          <t>FALKENBERG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46235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46235</v>
      </c>
      <c r="F290" t="inlineStr">
        <is>
          <t>HALLANDS LÄN</t>
        </is>
      </c>
      <c r="G290" t="inlineStr">
        <is>
          <t>FALKENBERG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46235</v>
      </c>
      <c r="F291" t="inlineStr">
        <is>
          <t>HALLANDS LÄN</t>
        </is>
      </c>
      <c r="G291" t="inlineStr">
        <is>
          <t>FALKENBERG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46235</v>
      </c>
      <c r="F292" t="inlineStr">
        <is>
          <t>HALLANDS LÄN</t>
        </is>
      </c>
      <c r="G292" t="inlineStr">
        <is>
          <t>FALKENBERG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46235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46235</v>
      </c>
      <c r="F294" t="inlineStr">
        <is>
          <t>HALLANDS LÄN</t>
        </is>
      </c>
      <c r="G294" t="inlineStr">
        <is>
          <t>FALKENBERG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46235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46235</v>
      </c>
      <c r="F296" t="inlineStr">
        <is>
          <t>HALLANDS LÄN</t>
        </is>
      </c>
      <c r="G296" t="inlineStr">
        <is>
          <t>FALKENBERG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46235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46235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45960</v>
      </c>
      <c r="E299" s="1" t="n">
        <v>46235</v>
      </c>
      <c r="F299" t="inlineStr">
        <is>
          <t>HALLANDS LÄN</t>
        </is>
      </c>
      <c r="G299" t="inlineStr">
        <is>
          <t>FALKENBERG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46235</v>
      </c>
      <c r="F300" t="inlineStr">
        <is>
          <t>HALLANDS LÄN</t>
        </is>
      </c>
      <c r="G300" t="inlineStr">
        <is>
          <t>FALKENBERG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46235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46235</v>
      </c>
      <c r="F302" t="inlineStr">
        <is>
          <t>HALLANDS LÄN</t>
        </is>
      </c>
      <c r="G302" t="inlineStr">
        <is>
          <t>FALKENBERG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46235</v>
      </c>
      <c r="F303" t="inlineStr">
        <is>
          <t>HALLANDS LÄN</t>
        </is>
      </c>
      <c r="G303" t="inlineStr">
        <is>
          <t>FALKENBERG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46235</v>
      </c>
      <c r="F304" t="inlineStr">
        <is>
          <t>HALLANDS LÄN</t>
        </is>
      </c>
      <c r="G304" t="inlineStr">
        <is>
          <t>FALKENBERG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46235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46235</v>
      </c>
      <c r="F306" t="inlineStr">
        <is>
          <t>HALLANDS LÄN</t>
        </is>
      </c>
      <c r="G306" t="inlineStr">
        <is>
          <t>FALKENBERG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46235</v>
      </c>
      <c r="F307" t="inlineStr">
        <is>
          <t>HALLANDS LÄN</t>
        </is>
      </c>
      <c r="G307" t="inlineStr">
        <is>
          <t>FALKENBERG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46235</v>
      </c>
      <c r="F308" t="inlineStr">
        <is>
          <t>HALLANDS LÄN</t>
        </is>
      </c>
      <c r="G308" t="inlineStr">
        <is>
          <t>FALKENBERG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46235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46235</v>
      </c>
      <c r="F310" t="inlineStr">
        <is>
          <t>HALLANDS LÄN</t>
        </is>
      </c>
      <c r="G310" t="inlineStr">
        <is>
          <t>FALKENBERG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44852</v>
      </c>
      <c r="E311" s="1" t="n">
        <v>46235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46235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46235</v>
      </c>
      <c r="F313" t="inlineStr">
        <is>
          <t>HALLANDS LÄN</t>
        </is>
      </c>
      <c r="G313" t="inlineStr">
        <is>
          <t>FALKENBERG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46235</v>
      </c>
      <c r="F314" t="inlineStr">
        <is>
          <t>HALLANDS LÄN</t>
        </is>
      </c>
      <c r="G314" t="inlineStr">
        <is>
          <t>FALKENBERG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46235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46235</v>
      </c>
      <c r="F316" t="inlineStr">
        <is>
          <t>HALLANDS LÄN</t>
        </is>
      </c>
      <c r="G316" t="inlineStr">
        <is>
          <t>FALKENBERG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46235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67454-2021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44524</v>
      </c>
      <c r="E318" s="1" t="n">
        <v>46235</v>
      </c>
      <c r="F318" t="inlineStr">
        <is>
          <t>HALLANDS LÄN</t>
        </is>
      </c>
      <c r="G318" t="inlineStr">
        <is>
          <t>FALKENBERG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45968</v>
      </c>
      <c r="E319" s="1" t="n">
        <v>46235</v>
      </c>
      <c r="F319" t="inlineStr">
        <is>
          <t>HALLANDS LÄN</t>
        </is>
      </c>
      <c r="G319" t="inlineStr">
        <is>
          <t>FALKENBERG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46235</v>
      </c>
      <c r="F320" t="inlineStr">
        <is>
          <t>HALLANDS LÄN</t>
        </is>
      </c>
      <c r="G320" t="inlineStr">
        <is>
          <t>FALKENBERG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46235</v>
      </c>
      <c r="F321" t="inlineStr">
        <is>
          <t>HALLANDS LÄN</t>
        </is>
      </c>
      <c r="G321" t="inlineStr">
        <is>
          <t>FALKENBERG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46235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46235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46235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46235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46235</v>
      </c>
      <c r="F326" t="inlineStr">
        <is>
          <t>HALLANDS LÄN</t>
        </is>
      </c>
      <c r="G326" t="inlineStr">
        <is>
          <t>FALKENBERG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45035</v>
      </c>
      <c r="E327" s="1" t="n">
        <v>46235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46235</v>
      </c>
      <c r="F328" t="inlineStr">
        <is>
          <t>HALLANDS LÄN</t>
        </is>
      </c>
      <c r="G328" t="inlineStr">
        <is>
          <t>FALKENBERG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46235</v>
      </c>
      <c r="F329" t="inlineStr">
        <is>
          <t>HALLANDS LÄN</t>
        </is>
      </c>
      <c r="G329" t="inlineStr">
        <is>
          <t>FALKENBERG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46235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46235</v>
      </c>
      <c r="F331" t="inlineStr">
        <is>
          <t>HALLANDS LÄN</t>
        </is>
      </c>
      <c r="G331" t="inlineStr">
        <is>
          <t>FALKENBERG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46235</v>
      </c>
      <c r="F332" t="inlineStr">
        <is>
          <t>HALLANDS LÄN</t>
        </is>
      </c>
      <c r="G332" t="inlineStr">
        <is>
          <t>FALKENBERG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46235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29216-2026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46202</v>
      </c>
      <c r="E334" s="1" t="n">
        <v>46235</v>
      </c>
      <c r="F334" t="inlineStr">
        <is>
          <t>HALLANDS LÄN</t>
        </is>
      </c>
      <c r="G334" t="inlineStr">
        <is>
          <t>FALKENBERG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46235</v>
      </c>
      <c r="F335" t="inlineStr">
        <is>
          <t>HALLANDS LÄN</t>
        </is>
      </c>
      <c r="G335" t="inlineStr">
        <is>
          <t>FALKENBERG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45323</v>
      </c>
      <c r="E336" s="1" t="n">
        <v>46235</v>
      </c>
      <c r="F336" t="inlineStr">
        <is>
          <t>HALLANDS LÄN</t>
        </is>
      </c>
      <c r="G336" t="inlineStr">
        <is>
          <t>FALKENBERG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46235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46235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46235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46235</v>
      </c>
      <c r="F340" t="inlineStr">
        <is>
          <t>HALLANDS LÄN</t>
        </is>
      </c>
      <c r="G340" t="inlineStr">
        <is>
          <t>FALKENBERG</t>
        </is>
      </c>
      <c r="H340" t="inlineStr">
        <is>
          <t>Bergvik skog väst AB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46235</v>
      </c>
      <c r="F341" t="inlineStr">
        <is>
          <t>HALLANDS LÄN</t>
        </is>
      </c>
      <c r="G341" t="inlineStr">
        <is>
          <t>FALKENBERG</t>
        </is>
      </c>
      <c r="H341" t="inlineStr">
        <is>
          <t>Bergvik skog väst AB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46200</v>
      </c>
      <c r="E342" s="1" t="n">
        <v>46235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46235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45205</v>
      </c>
      <c r="E344" s="1" t="n">
        <v>46235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46235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46235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46235</v>
      </c>
      <c r="F347" t="inlineStr">
        <is>
          <t>HALLANDS LÄN</t>
        </is>
      </c>
      <c r="G347" t="inlineStr">
        <is>
          <t>FALKENBERG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46235</v>
      </c>
      <c r="F348" t="inlineStr">
        <is>
          <t>HALLANDS LÄN</t>
        </is>
      </c>
      <c r="G348" t="inlineStr">
        <is>
          <t>FALKENBERG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46203</v>
      </c>
      <c r="E349" s="1" t="n">
        <v>46235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26880-2022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44740</v>
      </c>
      <c r="E350" s="1" t="n">
        <v>46235</v>
      </c>
      <c r="F350" t="inlineStr">
        <is>
          <t>HALLANDS LÄN</t>
        </is>
      </c>
      <c r="G350" t="inlineStr">
        <is>
          <t>FALKENBERG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46235</v>
      </c>
      <c r="F351" t="inlineStr">
        <is>
          <t>HALLANDS LÄN</t>
        </is>
      </c>
      <c r="G351" t="inlineStr">
        <is>
          <t>FALKENBERG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46235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46235</v>
      </c>
      <c r="F353" t="inlineStr">
        <is>
          <t>HALLANDS LÄN</t>
        </is>
      </c>
      <c r="G353" t="inlineStr">
        <is>
          <t>FALKENBERG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46235</v>
      </c>
      <c r="F354" t="inlineStr">
        <is>
          <t>HALLANDS LÄN</t>
        </is>
      </c>
      <c r="G354" t="inlineStr">
        <is>
          <t>FALKENBERG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46235</v>
      </c>
      <c r="F355" t="inlineStr">
        <is>
          <t>HALLANDS LÄN</t>
        </is>
      </c>
      <c r="G355" t="inlineStr">
        <is>
          <t>FALKENBERG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46164</v>
      </c>
      <c r="E356" s="1" t="n">
        <v>46235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46235</v>
      </c>
      <c r="F357" t="inlineStr">
        <is>
          <t>HALLANDS LÄN</t>
        </is>
      </c>
      <c r="G357" t="inlineStr">
        <is>
          <t>FALKENBERG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46235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46235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46235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45682</v>
      </c>
      <c r="E361" s="1" t="n">
        <v>46235</v>
      </c>
      <c r="F361" t="inlineStr">
        <is>
          <t>HALLANDS LÄN</t>
        </is>
      </c>
      <c r="G361" t="inlineStr">
        <is>
          <t>FALKENBERG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45682</v>
      </c>
      <c r="E362" s="1" t="n">
        <v>46235</v>
      </c>
      <c r="F362" t="inlineStr">
        <is>
          <t>HALLANDS LÄN</t>
        </is>
      </c>
      <c r="G362" t="inlineStr">
        <is>
          <t>FALKENBERG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46235</v>
      </c>
      <c r="F363" t="inlineStr">
        <is>
          <t>HALLANDS LÄN</t>
        </is>
      </c>
      <c r="G363" t="inlineStr">
        <is>
          <t>FALKENBERG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46235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46235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46235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46235</v>
      </c>
      <c r="F367" t="inlineStr">
        <is>
          <t>HALLANDS LÄN</t>
        </is>
      </c>
      <c r="G367" t="inlineStr">
        <is>
          <t>FALKENBERG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46235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46235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46235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45673</v>
      </c>
      <c r="E371" s="1" t="n">
        <v>46235</v>
      </c>
      <c r="F371" t="inlineStr">
        <is>
          <t>HALLANDS LÄN</t>
        </is>
      </c>
      <c r="G371" t="inlineStr">
        <is>
          <t>FALKENBERG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46235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46235</v>
      </c>
      <c r="F373" t="inlineStr">
        <is>
          <t>HALLANDS LÄN</t>
        </is>
      </c>
      <c r="G373" t="inlineStr">
        <is>
          <t>FALKENBERG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45127</v>
      </c>
      <c r="E374" s="1" t="n">
        <v>46235</v>
      </c>
      <c r="F374" t="inlineStr">
        <is>
          <t>HALLANDS LÄN</t>
        </is>
      </c>
      <c r="G374" t="inlineStr">
        <is>
          <t>FALKENBERG</t>
        </is>
      </c>
      <c r="H374" t="inlineStr">
        <is>
          <t>Kommuner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46235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46235</v>
      </c>
      <c r="F376" t="inlineStr">
        <is>
          <t>HALLANDS LÄN</t>
        </is>
      </c>
      <c r="G376" t="inlineStr">
        <is>
          <t>FALKENBERG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45232</v>
      </c>
      <c r="E377" s="1" t="n">
        <v>46235</v>
      </c>
      <c r="F377" t="inlineStr">
        <is>
          <t>HALLANDS LÄN</t>
        </is>
      </c>
      <c r="G377" t="inlineStr">
        <is>
          <t>FALKENBERG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44893</v>
      </c>
      <c r="E378" s="1" t="n">
        <v>46235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46235</v>
      </c>
      <c r="F379" t="inlineStr">
        <is>
          <t>HALLANDS LÄN</t>
        </is>
      </c>
      <c r="G379" t="inlineStr">
        <is>
          <t>FALKENBERG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46235</v>
      </c>
      <c r="F380" t="inlineStr">
        <is>
          <t>HALLANDS LÄN</t>
        </is>
      </c>
      <c r="G380" t="inlineStr">
        <is>
          <t>FALKENBERG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23708-2026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46164</v>
      </c>
      <c r="E381" s="1" t="n">
        <v>46235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46235</v>
      </c>
      <c r="F382" t="inlineStr">
        <is>
          <t>HALLANDS LÄN</t>
        </is>
      </c>
      <c r="G382" t="inlineStr">
        <is>
          <t>FALKENBERG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49126-2021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44453</v>
      </c>
      <c r="E383" s="1" t="n">
        <v>46235</v>
      </c>
      <c r="F383" t="inlineStr">
        <is>
          <t>HALLANDS LÄN</t>
        </is>
      </c>
      <c r="G383" t="inlineStr">
        <is>
          <t>FALKENBERG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46235</v>
      </c>
      <c r="F384" t="inlineStr">
        <is>
          <t>HALLANDS LÄN</t>
        </is>
      </c>
      <c r="G384" t="inlineStr">
        <is>
          <t>FALKENBERG</t>
        </is>
      </c>
      <c r="I384" t="n">
        <v>10.8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39074-2024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46235</v>
      </c>
      <c r="F385" t="inlineStr">
        <is>
          <t>HALLANDS LÄN</t>
        </is>
      </c>
      <c r="G385" t="inlineStr">
        <is>
          <t>FALKENBERG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46235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55257-2022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44882</v>
      </c>
      <c r="E387" s="1" t="n">
        <v>46235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46235</v>
      </c>
      <c r="F388" t="inlineStr">
        <is>
          <t>HALLANDS LÄN</t>
        </is>
      </c>
      <c r="G388" t="inlineStr">
        <is>
          <t>FALKENBERG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46166</v>
      </c>
      <c r="E389" s="1" t="n">
        <v>46235</v>
      </c>
      <c r="F389" t="inlineStr">
        <is>
          <t>HALLANDS LÄN</t>
        </is>
      </c>
      <c r="G389" t="inlineStr">
        <is>
          <t>FALKENBERG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46235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53939-2021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44469</v>
      </c>
      <c r="E391" s="1" t="n">
        <v>46235</v>
      </c>
      <c r="F391" t="inlineStr">
        <is>
          <t>HALLANDS LÄN</t>
        </is>
      </c>
      <c r="G391" t="inlineStr">
        <is>
          <t>FALKENBERG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46003</v>
      </c>
      <c r="E392" s="1" t="n">
        <v>46235</v>
      </c>
      <c r="F392" t="inlineStr">
        <is>
          <t>HALLANDS LÄN</t>
        </is>
      </c>
      <c r="G392" t="inlineStr">
        <is>
          <t>FALKENBERG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46235</v>
      </c>
      <c r="F393" t="inlineStr">
        <is>
          <t>HALLANDS LÄN</t>
        </is>
      </c>
      <c r="G393" t="inlineStr">
        <is>
          <t>FALKENBERG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46004</v>
      </c>
      <c r="E394" s="1" t="n">
        <v>46235</v>
      </c>
      <c r="F394" t="inlineStr">
        <is>
          <t>HALLANDS LÄN</t>
        </is>
      </c>
      <c r="G394" t="inlineStr">
        <is>
          <t>FALKENBERG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45456</v>
      </c>
      <c r="E395" s="1" t="n">
        <v>46235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44574</v>
      </c>
      <c r="E396" s="1" t="n">
        <v>46235</v>
      </c>
      <c r="F396" t="inlineStr">
        <is>
          <t>HALLANDS LÄN</t>
        </is>
      </c>
      <c r="G396" t="inlineStr">
        <is>
          <t>FALKENBERG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44957</v>
      </c>
      <c r="E397" s="1" t="n">
        <v>46235</v>
      </c>
      <c r="F397" t="inlineStr">
        <is>
          <t>HALLANDS LÄN</t>
        </is>
      </c>
      <c r="G397" t="inlineStr">
        <is>
          <t>FALKENBERG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18813-2023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45044</v>
      </c>
      <c r="E398" s="1" t="n">
        <v>46235</v>
      </c>
      <c r="F398" t="inlineStr">
        <is>
          <t>HALLANDS LÄN</t>
        </is>
      </c>
      <c r="G398" t="inlineStr">
        <is>
          <t>FALKENBERG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44631</v>
      </c>
      <c r="E399" s="1" t="n">
        <v>46235</v>
      </c>
      <c r="F399" t="inlineStr">
        <is>
          <t>HALLANDS LÄN</t>
        </is>
      </c>
      <c r="G399" t="inlineStr">
        <is>
          <t>FALKENBERG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46235</v>
      </c>
      <c r="F400" t="inlineStr">
        <is>
          <t>HALLANDS LÄN</t>
        </is>
      </c>
      <c r="G400" t="inlineStr">
        <is>
          <t>FALKENBERG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30790-2026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46212</v>
      </c>
      <c r="E401" s="1" t="n">
        <v>46235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30715-2026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46211</v>
      </c>
      <c r="E402" s="1" t="n">
        <v>46235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44689</v>
      </c>
      <c r="E403" s="1" t="n">
        <v>46235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46235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44687</v>
      </c>
      <c r="E405" s="1" t="n">
        <v>46235</v>
      </c>
      <c r="F405" t="inlineStr">
        <is>
          <t>HALLANDS LÄN</t>
        </is>
      </c>
      <c r="G405" t="inlineStr">
        <is>
          <t>FALKENBERG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70848-2021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46235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45702</v>
      </c>
      <c r="E407" s="1" t="n">
        <v>46235</v>
      </c>
      <c r="F407" t="inlineStr">
        <is>
          <t>HALLANDS LÄN</t>
        </is>
      </c>
      <c r="G407" t="inlineStr">
        <is>
          <t>FALKENBERG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45785</v>
      </c>
      <c r="E408" s="1" t="n">
        <v>46235</v>
      </c>
      <c r="F408" t="inlineStr">
        <is>
          <t>HALLANDS LÄN</t>
        </is>
      </c>
      <c r="G408" t="inlineStr">
        <is>
          <t>FALKENBERG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45266</v>
      </c>
      <c r="E409" s="1" t="n">
        <v>46235</v>
      </c>
      <c r="F409" t="inlineStr">
        <is>
          <t>HALLANDS LÄN</t>
        </is>
      </c>
      <c r="G409" t="inlineStr">
        <is>
          <t>FALKENBERG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46172</v>
      </c>
      <c r="E410" s="1" t="n">
        <v>46235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45664</v>
      </c>
      <c r="E411" s="1" t="n">
        <v>46235</v>
      </c>
      <c r="F411" t="inlineStr">
        <is>
          <t>HALLANDS LÄN</t>
        </is>
      </c>
      <c r="G411" t="inlineStr">
        <is>
          <t>FALKENBERG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46235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46235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46235</v>
      </c>
      <c r="F414" t="inlineStr">
        <is>
          <t>HALLANDS LÄN</t>
        </is>
      </c>
      <c r="G414" t="inlineStr">
        <is>
          <t>FALKENBERG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46235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12803-2022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46235</v>
      </c>
      <c r="F416" t="inlineStr">
        <is>
          <t>HALLANDS LÄN</t>
        </is>
      </c>
      <c r="G416" t="inlineStr">
        <is>
          <t>FALKENBERG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46235</v>
      </c>
      <c r="F417" t="inlineStr">
        <is>
          <t>HALLANDS LÄN</t>
        </is>
      </c>
      <c r="G417" t="inlineStr">
        <is>
          <t>FALKENBERG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46235</v>
      </c>
      <c r="F418" t="inlineStr">
        <is>
          <t>HALLANDS LÄN</t>
        </is>
      </c>
      <c r="G418" t="inlineStr">
        <is>
          <t>FALKENBERG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46235</v>
      </c>
      <c r="F419" t="inlineStr">
        <is>
          <t>HALLANDS LÄN</t>
        </is>
      </c>
      <c r="G419" t="inlineStr">
        <is>
          <t>FALKENBERG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45351</v>
      </c>
      <c r="E420" s="1" t="n">
        <v>46235</v>
      </c>
      <c r="F420" t="inlineStr">
        <is>
          <t>HALLANDS LÄN</t>
        </is>
      </c>
      <c r="G420" t="inlineStr">
        <is>
          <t>FALKENBERG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44846</v>
      </c>
      <c r="E421" s="1" t="n">
        <v>46235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64404-2023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46235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72470-2021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46235</v>
      </c>
      <c r="F423" t="inlineStr">
        <is>
          <t>HALLANDS LÄN</t>
        </is>
      </c>
      <c r="G423" t="inlineStr">
        <is>
          <t>FALKENBERG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46235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46235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46235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46235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46235</v>
      </c>
      <c r="F428" t="inlineStr">
        <is>
          <t>HALLANDS LÄN</t>
        </is>
      </c>
      <c r="G428" t="inlineStr">
        <is>
          <t>FALKENBERG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12470-2023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44999</v>
      </c>
      <c r="E429" s="1" t="n">
        <v>46235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46235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46235</v>
      </c>
      <c r="F431" t="inlineStr">
        <is>
          <t>HALLANDS LÄN</t>
        </is>
      </c>
      <c r="G431" t="inlineStr">
        <is>
          <t>FALKENBERG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46235</v>
      </c>
      <c r="F432" t="inlineStr">
        <is>
          <t>HALLANDS LÄN</t>
        </is>
      </c>
      <c r="G432" t="inlineStr">
        <is>
          <t>FALKENBERG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55878-2023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45239</v>
      </c>
      <c r="E433" s="1" t="n">
        <v>46235</v>
      </c>
      <c r="F433" t="inlineStr">
        <is>
          <t>HALLANDS LÄN</t>
        </is>
      </c>
      <c r="G433" t="inlineStr">
        <is>
          <t>FALKENBERG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45120</v>
      </c>
      <c r="E434" s="1" t="n">
        <v>46235</v>
      </c>
      <c r="F434" t="inlineStr">
        <is>
          <t>HALLANDS LÄN</t>
        </is>
      </c>
      <c r="G434" t="inlineStr">
        <is>
          <t>FALKENBERG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45425</v>
      </c>
      <c r="E435" s="1" t="n">
        <v>46235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46235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46235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67744-2021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44525</v>
      </c>
      <c r="E438" s="1" t="n">
        <v>46235</v>
      </c>
      <c r="F438" t="inlineStr">
        <is>
          <t>HALLANDS LÄN</t>
        </is>
      </c>
      <c r="G438" t="inlineStr">
        <is>
          <t>FALKENBERG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46235</v>
      </c>
      <c r="F439" t="inlineStr">
        <is>
          <t>HALLANDS LÄN</t>
        </is>
      </c>
      <c r="G439" t="inlineStr">
        <is>
          <t>FALKENBERG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46235</v>
      </c>
      <c r="F440" t="inlineStr">
        <is>
          <t>HALLANDS LÄN</t>
        </is>
      </c>
      <c r="G440" t="inlineStr">
        <is>
          <t>FALKENBERG</t>
        </is>
      </c>
      <c r="H440" t="inlineStr">
        <is>
          <t>Naturvårdsverket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46235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71844-2021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44543</v>
      </c>
      <c r="E442" s="1" t="n">
        <v>46235</v>
      </c>
      <c r="F442" t="inlineStr">
        <is>
          <t>HALLANDS LÄN</t>
        </is>
      </c>
      <c r="G442" t="inlineStr">
        <is>
          <t>FALKENBERG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46235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45019</v>
      </c>
      <c r="E444" s="1" t="n">
        <v>46235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46235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46235</v>
      </c>
      <c r="F446" t="inlineStr">
        <is>
          <t>HALLANDS LÄN</t>
        </is>
      </c>
      <c r="G446" t="inlineStr">
        <is>
          <t>FALKENBERG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46235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46041</v>
      </c>
      <c r="E448" s="1" t="n">
        <v>46235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44986</v>
      </c>
      <c r="E449" s="1" t="n">
        <v>46235</v>
      </c>
      <c r="F449" t="inlineStr">
        <is>
          <t>HALLANDS LÄN</t>
        </is>
      </c>
      <c r="G449" t="inlineStr">
        <is>
          <t>FALKENBERG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46235</v>
      </c>
      <c r="F450" t="inlineStr">
        <is>
          <t>HALLANDS LÄN</t>
        </is>
      </c>
      <c r="G450" t="inlineStr">
        <is>
          <t>FALKENBERG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45138</v>
      </c>
      <c r="E451" s="1" t="n">
        <v>46235</v>
      </c>
      <c r="F451" t="inlineStr">
        <is>
          <t>HALLANDS LÄN</t>
        </is>
      </c>
      <c r="G451" t="inlineStr">
        <is>
          <t>FALKENBERG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46235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46045</v>
      </c>
      <c r="E453" s="1" t="n">
        <v>46235</v>
      </c>
      <c r="F453" t="inlineStr">
        <is>
          <t>HALLANDS LÄN</t>
        </is>
      </c>
      <c r="G453" t="inlineStr">
        <is>
          <t>FALKENBERG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46235</v>
      </c>
      <c r="F454" t="inlineStr">
        <is>
          <t>HALLANDS LÄN</t>
        </is>
      </c>
      <c r="G454" t="inlineStr">
        <is>
          <t>FALKENBERG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46235</v>
      </c>
      <c r="F455" t="inlineStr">
        <is>
          <t>HALLANDS LÄN</t>
        </is>
      </c>
      <c r="G455" t="inlineStr">
        <is>
          <t>FALKENBERG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46365-2022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44848</v>
      </c>
      <c r="E456" s="1" t="n">
        <v>46235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46235</v>
      </c>
      <c r="F457" t="inlineStr">
        <is>
          <t>HALLANDS LÄN</t>
        </is>
      </c>
      <c r="G457" t="inlineStr">
        <is>
          <t>FALKENBERG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46235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42799-2024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45566</v>
      </c>
      <c r="E459" s="1" t="n">
        <v>46235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46235</v>
      </c>
      <c r="F460" t="inlineStr">
        <is>
          <t>HALLANDS LÄN</t>
        </is>
      </c>
      <c r="G460" t="inlineStr">
        <is>
          <t>FALKENBERG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45105</v>
      </c>
      <c r="E461" s="1" t="n">
        <v>46235</v>
      </c>
      <c r="F461" t="inlineStr">
        <is>
          <t>HALLANDS LÄN</t>
        </is>
      </c>
      <c r="G461" t="inlineStr">
        <is>
          <t>FALKENBERG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45048</v>
      </c>
      <c r="E462" s="1" t="n">
        <v>46235</v>
      </c>
      <c r="F462" t="inlineStr">
        <is>
          <t>HALLANDS LÄN</t>
        </is>
      </c>
      <c r="G462" t="inlineStr">
        <is>
          <t>FALKENBERG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46235</v>
      </c>
      <c r="F463" t="inlineStr">
        <is>
          <t>HALLANDS LÄN</t>
        </is>
      </c>
      <c r="G463" t="inlineStr">
        <is>
          <t>FALKENBERG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46235</v>
      </c>
      <c r="F464" t="inlineStr">
        <is>
          <t>HALLANDS LÄN</t>
        </is>
      </c>
      <c r="G464" t="inlineStr">
        <is>
          <t>FALKENBERG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46235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46235</v>
      </c>
      <c r="F466" t="inlineStr">
        <is>
          <t>HALLANDS LÄN</t>
        </is>
      </c>
      <c r="G466" t="inlineStr">
        <is>
          <t>FALKENBERG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46235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46235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54606-2025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45966</v>
      </c>
      <c r="E469" s="1" t="n">
        <v>46235</v>
      </c>
      <c r="F469" t="inlineStr">
        <is>
          <t>HALLANDS LÄN</t>
        </is>
      </c>
      <c r="G469" t="inlineStr">
        <is>
          <t>FALKENBERG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46235</v>
      </c>
      <c r="F470" t="inlineStr">
        <is>
          <t>HALLANDS LÄN</t>
        </is>
      </c>
      <c r="G470" t="inlineStr">
        <is>
          <t>FALKENBERG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44986</v>
      </c>
      <c r="E471" s="1" t="n">
        <v>46235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10270-2022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44622</v>
      </c>
      <c r="E472" s="1" t="n">
        <v>46235</v>
      </c>
      <c r="F472" t="inlineStr">
        <is>
          <t>HALLANDS LÄN</t>
        </is>
      </c>
      <c r="G472" t="inlineStr">
        <is>
          <t>FALKENBERG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26697-2026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46235</v>
      </c>
      <c r="F473" t="inlineStr">
        <is>
          <t>HALLANDS LÄN</t>
        </is>
      </c>
      <c r="G473" t="inlineStr">
        <is>
          <t>FALKENBERG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46235</v>
      </c>
      <c r="F474" t="inlineStr">
        <is>
          <t>HALLANDS LÄN</t>
        </is>
      </c>
      <c r="G474" t="inlineStr">
        <is>
          <t>FALKENBERG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46235</v>
      </c>
      <c r="F475" t="inlineStr">
        <is>
          <t>HALLANDS LÄN</t>
        </is>
      </c>
      <c r="G475" t="inlineStr">
        <is>
          <t>FALKENBERG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46235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44963</v>
      </c>
      <c r="E477" s="1" t="n">
        <v>46235</v>
      </c>
      <c r="F477" t="inlineStr">
        <is>
          <t>HALLANDS LÄN</t>
        </is>
      </c>
      <c r="G477" t="inlineStr">
        <is>
          <t>FALKENBERG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44963</v>
      </c>
      <c r="E478" s="1" t="n">
        <v>46235</v>
      </c>
      <c r="F478" t="inlineStr">
        <is>
          <t>HALLANDS LÄN</t>
        </is>
      </c>
      <c r="G478" t="inlineStr">
        <is>
          <t>FALKENBERG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45377</v>
      </c>
      <c r="E479" s="1" t="n">
        <v>46235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58939-2022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44903</v>
      </c>
      <c r="E480" s="1" t="n">
        <v>46235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46235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46235</v>
      </c>
      <c r="F482" t="inlineStr">
        <is>
          <t>HALLANDS LÄN</t>
        </is>
      </c>
      <c r="G482" t="inlineStr">
        <is>
          <t>FALKENBERG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45678</v>
      </c>
      <c r="E483" s="1" t="n">
        <v>46235</v>
      </c>
      <c r="F483" t="inlineStr">
        <is>
          <t>HALLANDS LÄN</t>
        </is>
      </c>
      <c r="G483" t="inlineStr">
        <is>
          <t>FALKENBERG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45401</v>
      </c>
      <c r="E484" s="1" t="n">
        <v>46235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46235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46235</v>
      </c>
      <c r="F486" t="inlineStr">
        <is>
          <t>HALLANDS LÄN</t>
        </is>
      </c>
      <c r="G486" t="inlineStr">
        <is>
          <t>FALKENBERG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45219</v>
      </c>
      <c r="E487" s="1" t="n">
        <v>46235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9354-2025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46235</v>
      </c>
      <c r="F488" t="inlineStr">
        <is>
          <t>HALLANDS LÄN</t>
        </is>
      </c>
      <c r="G488" t="inlineStr">
        <is>
          <t>FALKENBERG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46235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46235</v>
      </c>
      <c r="F490" t="inlineStr">
        <is>
          <t>HALLANDS LÄN</t>
        </is>
      </c>
      <c r="G490" t="inlineStr">
        <is>
          <t>FALKENBERG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13113-2022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44644</v>
      </c>
      <c r="E491" s="1" t="n">
        <v>46235</v>
      </c>
      <c r="F491" t="inlineStr">
        <is>
          <t>HALLANDS LÄN</t>
        </is>
      </c>
      <c r="G491" t="inlineStr">
        <is>
          <t>FALKENBERG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45190</v>
      </c>
      <c r="E492" s="1" t="n">
        <v>46235</v>
      </c>
      <c r="F492" t="inlineStr">
        <is>
          <t>HALLANDS LÄN</t>
        </is>
      </c>
      <c r="G492" t="inlineStr">
        <is>
          <t>FALKENBERG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73973-2021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44554</v>
      </c>
      <c r="E493" s="1" t="n">
        <v>46235</v>
      </c>
      <c r="F493" t="inlineStr">
        <is>
          <t>HALLANDS LÄN</t>
        </is>
      </c>
      <c r="G493" t="inlineStr">
        <is>
          <t>FALKENBERG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46235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46235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46235</v>
      </c>
      <c r="F496" t="inlineStr">
        <is>
          <t>HALLANDS LÄN</t>
        </is>
      </c>
      <c r="G496" t="inlineStr">
        <is>
          <t>FALKENBERG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46235</v>
      </c>
      <c r="F497" t="inlineStr">
        <is>
          <t>HALLANDS LÄN</t>
        </is>
      </c>
      <c r="G497" t="inlineStr">
        <is>
          <t>FALKENBERG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46077</v>
      </c>
      <c r="E498" s="1" t="n">
        <v>46235</v>
      </c>
      <c r="F498" t="inlineStr">
        <is>
          <t>HALLANDS LÄN</t>
        </is>
      </c>
      <c r="G498" t="inlineStr">
        <is>
          <t>FALKENBERG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54659-2024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45618</v>
      </c>
      <c r="E499" s="1" t="n">
        <v>46235</v>
      </c>
      <c r="F499" t="inlineStr">
        <is>
          <t>HALLANDS LÄN</t>
        </is>
      </c>
      <c r="G499" t="inlineStr">
        <is>
          <t>FALKENBERG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46082</v>
      </c>
      <c r="E500" s="1" t="n">
        <v>46235</v>
      </c>
      <c r="F500" t="inlineStr">
        <is>
          <t>HALLANDS LÄN</t>
        </is>
      </c>
      <c r="G500" t="inlineStr">
        <is>
          <t>FALKENBERG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46235</v>
      </c>
      <c r="F501" t="inlineStr">
        <is>
          <t>HALLANDS LÄN</t>
        </is>
      </c>
      <c r="G501" t="inlineStr">
        <is>
          <t>FALKENBERG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46082</v>
      </c>
      <c r="E502" s="1" t="n">
        <v>46235</v>
      </c>
      <c r="F502" t="inlineStr">
        <is>
          <t>HALLANDS LÄN</t>
        </is>
      </c>
      <c r="G502" t="inlineStr">
        <is>
          <t>FALKENBERG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46235</v>
      </c>
      <c r="F503" t="inlineStr">
        <is>
          <t>HALLANDS LÄN</t>
        </is>
      </c>
      <c r="G503" t="inlineStr">
        <is>
          <t>FALKENBERG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46235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45643</v>
      </c>
      <c r="E505" s="1" t="n">
        <v>46235</v>
      </c>
      <c r="F505" t="inlineStr">
        <is>
          <t>HALLANDS LÄN</t>
        </is>
      </c>
      <c r="G505" t="inlineStr">
        <is>
          <t>FALKENBERG</t>
        </is>
      </c>
      <c r="H505" t="inlineStr">
        <is>
          <t>Kyrkan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45029</v>
      </c>
      <c r="E506" s="1" t="n">
        <v>46235</v>
      </c>
      <c r="F506" t="inlineStr">
        <is>
          <t>HALLANDS LÄN</t>
        </is>
      </c>
      <c r="G506" t="inlineStr">
        <is>
          <t>FALKENBERG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44986</v>
      </c>
      <c r="E507" s="1" t="n">
        <v>46235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45001</v>
      </c>
      <c r="E508" s="1" t="n">
        <v>46235</v>
      </c>
      <c r="F508" t="inlineStr">
        <is>
          <t>HALLANDS LÄN</t>
        </is>
      </c>
      <c r="G508" t="inlineStr">
        <is>
          <t>FALKENBERG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43045-2023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45182</v>
      </c>
      <c r="E509" s="1" t="n">
        <v>46235</v>
      </c>
      <c r="F509" t="inlineStr">
        <is>
          <t>HALLANDS LÄN</t>
        </is>
      </c>
      <c r="G509" t="inlineStr">
        <is>
          <t>FALKENBERG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45751</v>
      </c>
      <c r="E510" s="1" t="n">
        <v>46235</v>
      </c>
      <c r="F510" t="inlineStr">
        <is>
          <t>HALLANDS LÄN</t>
        </is>
      </c>
      <c r="G510" t="inlineStr">
        <is>
          <t>FALKENBERG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46235</v>
      </c>
      <c r="F511" t="inlineStr">
        <is>
          <t>HALLANDS LÄN</t>
        </is>
      </c>
      <c r="G511" t="inlineStr">
        <is>
          <t>FALKENBERG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46235</v>
      </c>
      <c r="F512" t="inlineStr">
        <is>
          <t>HALLANDS LÄN</t>
        </is>
      </c>
      <c r="G512" t="inlineStr">
        <is>
          <t>FALKENBERG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46235</v>
      </c>
      <c r="F513" t="inlineStr">
        <is>
          <t>HALLANDS LÄN</t>
        </is>
      </c>
      <c r="G513" t="inlineStr">
        <is>
          <t>FALKENBERG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46235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46235</v>
      </c>
      <c r="F515" t="inlineStr">
        <is>
          <t>HALLANDS LÄN</t>
        </is>
      </c>
      <c r="G515" t="inlineStr">
        <is>
          <t>FALKENBERG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46235</v>
      </c>
      <c r="F516" t="inlineStr">
        <is>
          <t>HALLANDS LÄN</t>
        </is>
      </c>
      <c r="G516" t="inlineStr">
        <is>
          <t>FALKENBERG</t>
        </is>
      </c>
      <c r="H516" t="inlineStr">
        <is>
          <t>Kommuner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46235</v>
      </c>
      <c r="F517" t="inlineStr">
        <is>
          <t>HALLANDS LÄN</t>
        </is>
      </c>
      <c r="G517" t="inlineStr">
        <is>
          <t>FALKENBERG</t>
        </is>
      </c>
      <c r="H517" t="inlineStr">
        <is>
          <t>Kyrkan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46235</v>
      </c>
      <c r="F518" t="inlineStr">
        <is>
          <t>HALLANDS LÄN</t>
        </is>
      </c>
      <c r="G518" t="inlineStr">
        <is>
          <t>FALKENBERG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46235</v>
      </c>
      <c r="F519" t="inlineStr">
        <is>
          <t>HALLANDS LÄN</t>
        </is>
      </c>
      <c r="G519" t="inlineStr">
        <is>
          <t>FALKENBERG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45681</v>
      </c>
      <c r="E520" s="1" t="n">
        <v>46235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46235</v>
      </c>
      <c r="F521" t="inlineStr">
        <is>
          <t>HALLANDS LÄN</t>
        </is>
      </c>
      <c r="G521" t="inlineStr">
        <is>
          <t>FALKENBERG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45414</v>
      </c>
      <c r="E522" s="1" t="n">
        <v>46235</v>
      </c>
      <c r="F522" t="inlineStr">
        <is>
          <t>HALLANDS LÄN</t>
        </is>
      </c>
      <c r="G522" t="inlineStr">
        <is>
          <t>FALKENBERG</t>
        </is>
      </c>
      <c r="H522" t="inlineStr">
        <is>
          <t>Kyrkan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38010-2022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44811</v>
      </c>
      <c r="E523" s="1" t="n">
        <v>46235</v>
      </c>
      <c r="F523" t="inlineStr">
        <is>
          <t>HALLANDS LÄN</t>
        </is>
      </c>
      <c r="G523" t="inlineStr">
        <is>
          <t>FALKENBERG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46235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46235</v>
      </c>
      <c r="F525" t="inlineStr">
        <is>
          <t>HALLANDS LÄN</t>
        </is>
      </c>
      <c r="G525" t="inlineStr">
        <is>
          <t>FALKENBERG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46235</v>
      </c>
      <c r="F526" t="inlineStr">
        <is>
          <t>HALLANDS LÄN</t>
        </is>
      </c>
      <c r="G526" t="inlineStr">
        <is>
          <t>FALKENBERG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45181</v>
      </c>
      <c r="E527" s="1" t="n">
        <v>46235</v>
      </c>
      <c r="F527" t="inlineStr">
        <is>
          <t>HALLANDS LÄN</t>
        </is>
      </c>
      <c r="G527" t="inlineStr">
        <is>
          <t>FALKENBERG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46235</v>
      </c>
      <c r="F528" t="inlineStr">
        <is>
          <t>HALLANDS LÄN</t>
        </is>
      </c>
      <c r="G528" t="inlineStr">
        <is>
          <t>FALKENBERG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10268-2022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44622</v>
      </c>
      <c r="E529" s="1" t="n">
        <v>46235</v>
      </c>
      <c r="F529" t="inlineStr">
        <is>
          <t>HALLANDS LÄN</t>
        </is>
      </c>
      <c r="G529" t="inlineStr">
        <is>
          <t>FALKENBERG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46235</v>
      </c>
      <c r="F530" t="inlineStr">
        <is>
          <t>HALLANDS LÄN</t>
        </is>
      </c>
      <c r="G530" t="inlineStr">
        <is>
          <t>FALKENBERG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46235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45680</v>
      </c>
      <c r="E532" s="1" t="n">
        <v>46235</v>
      </c>
      <c r="F532" t="inlineStr">
        <is>
          <t>HALLANDS LÄN</t>
        </is>
      </c>
      <c r="G532" t="inlineStr">
        <is>
          <t>FALKENBERG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45679</v>
      </c>
      <c r="E533" s="1" t="n">
        <v>46235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46235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17484-2026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46120</v>
      </c>
      <c r="E535" s="1" t="n">
        <v>46235</v>
      </c>
      <c r="F535" t="inlineStr">
        <is>
          <t>HALLANDS LÄN</t>
        </is>
      </c>
      <c r="G535" t="inlineStr">
        <is>
          <t>FALKENBERG</t>
        </is>
      </c>
      <c r="H535" t="inlineStr">
        <is>
          <t>Övriga Aktiebolag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45163</v>
      </c>
      <c r="E536" s="1" t="n">
        <v>46235</v>
      </c>
      <c r="F536" t="inlineStr">
        <is>
          <t>HALLANDS LÄN</t>
        </is>
      </c>
      <c r="G536" t="inlineStr">
        <is>
          <t>FALKENBERG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42915-2023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46235</v>
      </c>
      <c r="F537" t="inlineStr">
        <is>
          <t>HALLANDS LÄN</t>
        </is>
      </c>
      <c r="G537" t="inlineStr">
        <is>
          <t>FALKENBERG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44133-2023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45188</v>
      </c>
      <c r="E538" s="1" t="n">
        <v>46235</v>
      </c>
      <c r="F538" t="inlineStr">
        <is>
          <t>HALLANDS LÄN</t>
        </is>
      </c>
      <c r="G538" t="inlineStr">
        <is>
          <t>FALKENBERG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46235</v>
      </c>
      <c r="F539" t="inlineStr">
        <is>
          <t>HALLANDS LÄN</t>
        </is>
      </c>
      <c r="G539" t="inlineStr">
        <is>
          <t>FALKENBERG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46235</v>
      </c>
      <c r="F540" t="inlineStr">
        <is>
          <t>HALLANDS LÄN</t>
        </is>
      </c>
      <c r="G540" t="inlineStr">
        <is>
          <t>FALKENBERG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63852-2023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46235</v>
      </c>
      <c r="F541" t="inlineStr">
        <is>
          <t>HALLANDS LÄN</t>
        </is>
      </c>
      <c r="G541" t="inlineStr">
        <is>
          <t>FALKENBERG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46235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55876-2023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45239</v>
      </c>
      <c r="E543" s="1" t="n">
        <v>46235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46235</v>
      </c>
      <c r="F544" t="inlineStr">
        <is>
          <t>HALLANDS LÄN</t>
        </is>
      </c>
      <c r="G544" t="inlineStr">
        <is>
          <t>FALKENBERG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46235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46235</v>
      </c>
      <c r="F546" t="inlineStr">
        <is>
          <t>HALLANDS LÄN</t>
        </is>
      </c>
      <c r="G546" t="inlineStr">
        <is>
          <t>FALKENBERG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45770</v>
      </c>
      <c r="E547" s="1" t="n">
        <v>46235</v>
      </c>
      <c r="F547" t="inlineStr">
        <is>
          <t>HALLANDS LÄN</t>
        </is>
      </c>
      <c r="G547" t="inlineStr">
        <is>
          <t>FALKENBERG</t>
        </is>
      </c>
      <c r="H547" t="inlineStr">
        <is>
          <t>Kommuner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7004-2024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45343</v>
      </c>
      <c r="E548" s="1" t="n">
        <v>46235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45785</v>
      </c>
      <c r="E549" s="1" t="n">
        <v>46235</v>
      </c>
      <c r="F549" t="inlineStr">
        <is>
          <t>HALLANDS LÄN</t>
        </is>
      </c>
      <c r="G549" t="inlineStr">
        <is>
          <t>FALKENBERG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45785</v>
      </c>
      <c r="E550" s="1" t="n">
        <v>46235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44627</v>
      </c>
      <c r="E551" s="1" t="n">
        <v>46235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14505-2025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46235</v>
      </c>
      <c r="F552" t="inlineStr">
        <is>
          <t>HALLANDS LÄN</t>
        </is>
      </c>
      <c r="G552" t="inlineStr">
        <is>
          <t>FALKENBERG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21925-2024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45443</v>
      </c>
      <c r="E553" s="1" t="n">
        <v>46235</v>
      </c>
      <c r="F553" t="inlineStr">
        <is>
          <t>HALLANDS LÄN</t>
        </is>
      </c>
      <c r="G553" t="inlineStr">
        <is>
          <t>FALKENBERG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46235</v>
      </c>
      <c r="F554" t="inlineStr">
        <is>
          <t>HALLANDS LÄN</t>
        </is>
      </c>
      <c r="G554" t="inlineStr">
        <is>
          <t>FALKENBERG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63033-2023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45272</v>
      </c>
      <c r="E555" s="1" t="n">
        <v>46235</v>
      </c>
      <c r="F555" t="inlineStr">
        <is>
          <t>HALLANDS LÄN</t>
        </is>
      </c>
      <c r="G555" t="inlineStr">
        <is>
          <t>FALKENBERG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44958</v>
      </c>
      <c r="E556" s="1" t="n">
        <v>46235</v>
      </c>
      <c r="F556" t="inlineStr">
        <is>
          <t>HALLANDS LÄN</t>
        </is>
      </c>
      <c r="G556" t="inlineStr">
        <is>
          <t>FALKENBERG</t>
        </is>
      </c>
      <c r="H556" t="inlineStr">
        <is>
          <t>Kommuner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42074-2024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45562</v>
      </c>
      <c r="E557" s="1" t="n">
        <v>46235</v>
      </c>
      <c r="F557" t="inlineStr">
        <is>
          <t>HALLANDS LÄN</t>
        </is>
      </c>
      <c r="G557" t="inlineStr">
        <is>
          <t>FALKENBERG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26310-2023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46235</v>
      </c>
      <c r="F558" t="inlineStr">
        <is>
          <t>HALLANDS LÄN</t>
        </is>
      </c>
      <c r="G558" t="inlineStr">
        <is>
          <t>FALKENBERG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45118</v>
      </c>
      <c r="E559" s="1" t="n">
        <v>46235</v>
      </c>
      <c r="F559" t="inlineStr">
        <is>
          <t>HALLANDS LÄN</t>
        </is>
      </c>
      <c r="G559" t="inlineStr">
        <is>
          <t>FALKENBERG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59209-2023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45252</v>
      </c>
      <c r="E560" s="1" t="n">
        <v>46235</v>
      </c>
      <c r="F560" t="inlineStr">
        <is>
          <t>HALLANDS LÄN</t>
        </is>
      </c>
      <c r="G560" t="inlineStr">
        <is>
          <t>FALKENBERG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44785</v>
      </c>
      <c r="E561" s="1" t="n">
        <v>46235</v>
      </c>
      <c r="F561" t="inlineStr">
        <is>
          <t>HALLANDS LÄN</t>
        </is>
      </c>
      <c r="G561" t="inlineStr">
        <is>
          <t>FALKENBERG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64836-2023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45282</v>
      </c>
      <c r="E562" s="1" t="n">
        <v>46235</v>
      </c>
      <c r="F562" t="inlineStr">
        <is>
          <t>HALLANDS LÄN</t>
        </is>
      </c>
      <c r="G562" t="inlineStr">
        <is>
          <t>FALKENBERG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44831</v>
      </c>
      <c r="E563" s="1" t="n">
        <v>46235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8908-2024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45357</v>
      </c>
      <c r="E564" s="1" t="n">
        <v>46235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45831</v>
      </c>
      <c r="E565" s="1" t="n">
        <v>46235</v>
      </c>
      <c r="F565" t="inlineStr">
        <is>
          <t>HALLANDS LÄN</t>
        </is>
      </c>
      <c r="G565" t="inlineStr">
        <is>
          <t>FALKENBERG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46235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13621-2024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45390</v>
      </c>
      <c r="E567" s="1" t="n">
        <v>46235</v>
      </c>
      <c r="F567" t="inlineStr">
        <is>
          <t>HALLANDS LÄN</t>
        </is>
      </c>
      <c r="G567" t="inlineStr">
        <is>
          <t>FALKENBERG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46235</v>
      </c>
      <c r="F568" t="inlineStr">
        <is>
          <t>HALLANDS LÄN</t>
        </is>
      </c>
      <c r="G568" t="inlineStr">
        <is>
          <t>FALKENBERG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45856</v>
      </c>
      <c r="E569" s="1" t="n">
        <v>46235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8406-2025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45709</v>
      </c>
      <c r="E570" s="1" t="n">
        <v>46235</v>
      </c>
      <c r="F570" t="inlineStr">
        <is>
          <t>HALLANDS LÄN</t>
        </is>
      </c>
      <c r="G570" t="inlineStr">
        <is>
          <t>FALKENBERG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46522-2024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45582</v>
      </c>
      <c r="E571" s="1" t="n">
        <v>46235</v>
      </c>
      <c r="F571" t="inlineStr">
        <is>
          <t>HALLANDS LÄN</t>
        </is>
      </c>
      <c r="G571" t="inlineStr">
        <is>
          <t>FALKENBERG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45539</v>
      </c>
      <c r="E572" s="1" t="n">
        <v>46235</v>
      </c>
      <c r="F572" t="inlineStr">
        <is>
          <t>HALLANDS LÄN</t>
        </is>
      </c>
      <c r="G572" t="inlineStr">
        <is>
          <t>FALKENBERG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46235</v>
      </c>
      <c r="F573" t="inlineStr">
        <is>
          <t>HALLANDS LÄN</t>
        </is>
      </c>
      <c r="G573" t="inlineStr">
        <is>
          <t>FALKENBERG</t>
        </is>
      </c>
      <c r="I573" t="n">
        <v>29.4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45691</v>
      </c>
      <c r="E574" s="1" t="n">
        <v>46235</v>
      </c>
      <c r="F574" t="inlineStr">
        <is>
          <t>HALLANDS LÄN</t>
        </is>
      </c>
      <c r="G574" t="inlineStr">
        <is>
          <t>FALKENBERG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54131-2024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46235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44946</v>
      </c>
      <c r="E576" s="1" t="n">
        <v>46235</v>
      </c>
      <c r="F576" t="inlineStr">
        <is>
          <t>HALLANDS LÄN</t>
        </is>
      </c>
      <c r="G576" t="inlineStr">
        <is>
          <t>FALKENBERG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46235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45686</v>
      </c>
      <c r="E578" s="1" t="n">
        <v>46235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940-2025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45666</v>
      </c>
      <c r="E579" s="1" t="n">
        <v>46235</v>
      </c>
      <c r="F579" t="inlineStr">
        <is>
          <t>HALLANDS LÄN</t>
        </is>
      </c>
      <c r="G579" t="inlineStr">
        <is>
          <t>FALKENBERG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15767-2025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45748</v>
      </c>
      <c r="E580" s="1" t="n">
        <v>46235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54698-2024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45618</v>
      </c>
      <c r="E581" s="1" t="n">
        <v>46235</v>
      </c>
      <c r="F581" t="inlineStr">
        <is>
          <t>HALLANDS LÄN</t>
        </is>
      </c>
      <c r="G581" t="inlineStr">
        <is>
          <t>FALKENBERG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45618</v>
      </c>
      <c r="E582" s="1" t="n">
        <v>46235</v>
      </c>
      <c r="F582" t="inlineStr">
        <is>
          <t>HALLANDS LÄN</t>
        </is>
      </c>
      <c r="G582" t="inlineStr">
        <is>
          <t>FALKENBERG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45326</v>
      </c>
      <c r="E583" s="1" t="n">
        <v>46235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46235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45799</v>
      </c>
      <c r="E585" s="1" t="n">
        <v>46235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46235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45810</v>
      </c>
      <c r="E587" s="1" t="n">
        <v>46235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45467</v>
      </c>
      <c r="E588" s="1" t="n">
        <v>46235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46235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45712</v>
      </c>
      <c r="E590" s="1" t="n">
        <v>46235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45630</v>
      </c>
      <c r="E591" s="1" t="n">
        <v>46235</v>
      </c>
      <c r="F591" t="inlineStr">
        <is>
          <t>HALLANDS LÄN</t>
        </is>
      </c>
      <c r="G591" t="inlineStr">
        <is>
          <t>FALKENBERG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46235</v>
      </c>
      <c r="F592" t="inlineStr">
        <is>
          <t>HALLANDS LÄN</t>
        </is>
      </c>
      <c r="G592" t="inlineStr">
        <is>
          <t>FALKENBERG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46235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31684-2025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46235</v>
      </c>
      <c r="F594" t="inlineStr">
        <is>
          <t>HALLANDS LÄN</t>
        </is>
      </c>
      <c r="G594" t="inlineStr">
        <is>
          <t>FALKENBERG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45834</v>
      </c>
      <c r="E595" s="1" t="n">
        <v>46235</v>
      </c>
      <c r="F595" t="inlineStr">
        <is>
          <t>HALLANDS LÄN</t>
        </is>
      </c>
      <c r="G595" t="inlineStr">
        <is>
          <t>FALKENBERG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46235</v>
      </c>
      <c r="F596" t="inlineStr">
        <is>
          <t>HALLANDS LÄN</t>
        </is>
      </c>
      <c r="G596" t="inlineStr">
        <is>
          <t>FALKENBERG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46235</v>
      </c>
      <c r="F597" t="inlineStr">
        <is>
          <t>HALLANDS LÄN</t>
        </is>
      </c>
      <c r="G597" t="inlineStr">
        <is>
          <t>FALKENBERG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46235</v>
      </c>
      <c r="F598" t="inlineStr">
        <is>
          <t>HALLANDS LÄN</t>
        </is>
      </c>
      <c r="G598" t="inlineStr">
        <is>
          <t>FALKENBERG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46235</v>
      </c>
      <c r="F599" t="inlineStr">
        <is>
          <t>HALLANDS LÄN</t>
        </is>
      </c>
      <c r="G599" t="inlineStr">
        <is>
          <t>FALKENBERG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46235</v>
      </c>
      <c r="F600" t="inlineStr">
        <is>
          <t>HALLANDS LÄN</t>
        </is>
      </c>
      <c r="G600" t="inlineStr">
        <is>
          <t>FALKENBERG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45838</v>
      </c>
      <c r="E601" s="1" t="n">
        <v>46235</v>
      </c>
      <c r="F601" t="inlineStr">
        <is>
          <t>HALLANDS LÄN</t>
        </is>
      </c>
      <c r="G601" t="inlineStr">
        <is>
          <t>FALKENBERG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9807-2023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44984</v>
      </c>
      <c r="E602" s="1" t="n">
        <v>46235</v>
      </c>
      <c r="F602" t="inlineStr">
        <is>
          <t>HALLANDS LÄN</t>
        </is>
      </c>
      <c r="G602" t="inlineStr">
        <is>
          <t>FALKENBERG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46235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46235</v>
      </c>
      <c r="F604" t="inlineStr">
        <is>
          <t>HALLANDS LÄN</t>
        </is>
      </c>
      <c r="G604" t="inlineStr">
        <is>
          <t>FALKENBERG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45750</v>
      </c>
      <c r="E605" s="1" t="n">
        <v>46235</v>
      </c>
      <c r="F605" t="inlineStr">
        <is>
          <t>HALLANDS LÄN</t>
        </is>
      </c>
      <c r="G605" t="inlineStr">
        <is>
          <t>FALKENBERG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46235</v>
      </c>
      <c r="F606" t="inlineStr">
        <is>
          <t>HALLANDS LÄN</t>
        </is>
      </c>
      <c r="G606" t="inlineStr">
        <is>
          <t>FALKENBERG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20902-2025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45777</v>
      </c>
      <c r="E607" s="1" t="n">
        <v>46235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65081-2021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46235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66747-2021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44521</v>
      </c>
      <c r="E609" s="1" t="n">
        <v>46235</v>
      </c>
      <c r="F609" t="inlineStr">
        <is>
          <t>HALLANDS LÄN</t>
        </is>
      </c>
      <c r="G609" t="inlineStr">
        <is>
          <t>FALKENBERG</t>
        </is>
      </c>
      <c r="I609" t="n">
        <v>10.7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44952</v>
      </c>
      <c r="E610" s="1" t="n">
        <v>46235</v>
      </c>
      <c r="F610" t="inlineStr">
        <is>
          <t>HALLANDS LÄN</t>
        </is>
      </c>
      <c r="G610" t="inlineStr">
        <is>
          <t>FALKENBERG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45422</v>
      </c>
      <c r="E611" s="1" t="n">
        <v>46235</v>
      </c>
      <c r="F611" t="inlineStr">
        <is>
          <t>HALLANDS LÄN</t>
        </is>
      </c>
      <c r="G611" t="inlineStr">
        <is>
          <t>FALKENBERG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18323-2024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45422</v>
      </c>
      <c r="E612" s="1" t="n">
        <v>46235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18329-2024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46235</v>
      </c>
      <c r="F613" t="inlineStr">
        <is>
          <t>HALLANDS LÄN</t>
        </is>
      </c>
      <c r="G613" t="inlineStr">
        <is>
          <t>FALKENBERG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39593-2022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44818</v>
      </c>
      <c r="E614" s="1" t="n">
        <v>46235</v>
      </c>
      <c r="F614" t="inlineStr">
        <is>
          <t>HALLANDS LÄN</t>
        </is>
      </c>
      <c r="G614" t="inlineStr">
        <is>
          <t>FALKENBERG</t>
        </is>
      </c>
      <c r="H614" t="inlineStr">
        <is>
          <t>Bergvik skog väst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45068</v>
      </c>
      <c r="E615" s="1" t="n">
        <v>46235</v>
      </c>
      <c r="F615" t="inlineStr">
        <is>
          <t>HALLANDS LÄN</t>
        </is>
      </c>
      <c r="G615" t="inlineStr">
        <is>
          <t>FALKENBERG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50381-2022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44866</v>
      </c>
      <c r="E616" s="1" t="n">
        <v>46235</v>
      </c>
      <c r="F616" t="inlineStr">
        <is>
          <t>HALLANDS LÄN</t>
        </is>
      </c>
      <c r="G616" t="inlineStr">
        <is>
          <t>FALKENBERG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46235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20250-2024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45434</v>
      </c>
      <c r="E618" s="1" t="n">
        <v>46235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45229</v>
      </c>
      <c r="E619" s="1" t="n">
        <v>46235</v>
      </c>
      <c r="F619" t="inlineStr">
        <is>
          <t>HALLANDS LÄN</t>
        </is>
      </c>
      <c r="G619" t="inlineStr">
        <is>
          <t>FALKENBERG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63254-2023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46235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46235</v>
      </c>
      <c r="F621" t="inlineStr">
        <is>
          <t>HALLANDS LÄN</t>
        </is>
      </c>
      <c r="G621" t="inlineStr">
        <is>
          <t>FALKENBERG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45305</v>
      </c>
      <c r="E622" s="1" t="n">
        <v>46235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19534-2022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44693</v>
      </c>
      <c r="E623" s="1" t="n">
        <v>46235</v>
      </c>
      <c r="F623" t="inlineStr">
        <is>
          <t>HALLANDS LÄN</t>
        </is>
      </c>
      <c r="G623" t="inlineStr">
        <is>
          <t>FALKENBERG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44952</v>
      </c>
      <c r="E624" s="1" t="n">
        <v>46235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45817</v>
      </c>
      <c r="E625" s="1" t="n">
        <v>46235</v>
      </c>
      <c r="F625" t="inlineStr">
        <is>
          <t>HALLANDS LÄN</t>
        </is>
      </c>
      <c r="G625" t="inlineStr">
        <is>
          <t>FALKENBERG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45146</v>
      </c>
      <c r="E626" s="1" t="n">
        <v>46235</v>
      </c>
      <c r="F626" t="inlineStr">
        <is>
          <t>HALLANDS LÄN</t>
        </is>
      </c>
      <c r="G626" t="inlineStr">
        <is>
          <t>FALKENBERG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33071-2025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45840</v>
      </c>
      <c r="E627" s="1" t="n">
        <v>46235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6122-2024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45337</v>
      </c>
      <c r="E628" s="1" t="n">
        <v>46235</v>
      </c>
      <c r="F628" t="inlineStr">
        <is>
          <t>HALLANDS LÄN</t>
        </is>
      </c>
      <c r="G628" t="inlineStr">
        <is>
          <t>FALKENBERG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44952</v>
      </c>
      <c r="E629" s="1" t="n">
        <v>46235</v>
      </c>
      <c r="F629" t="inlineStr">
        <is>
          <t>HALLANDS LÄN</t>
        </is>
      </c>
      <c r="G629" t="inlineStr">
        <is>
          <t>FALKENBERG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18077-2025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45761</v>
      </c>
      <c r="E630" s="1" t="n">
        <v>46235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64455-2023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45280</v>
      </c>
      <c r="E631" s="1" t="n">
        <v>46235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46235</v>
      </c>
      <c r="F632" t="inlineStr">
        <is>
          <t>HALLANDS LÄN</t>
        </is>
      </c>
      <c r="G632" t="inlineStr">
        <is>
          <t>FALKENBERG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45068</v>
      </c>
      <c r="E633" s="1" t="n">
        <v>46235</v>
      </c>
      <c r="F633" t="inlineStr">
        <is>
          <t>HALLANDS LÄN</t>
        </is>
      </c>
      <c r="G633" t="inlineStr">
        <is>
          <t>FALKENBERG</t>
        </is>
      </c>
      <c r="I633" t="n">
        <v>13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23036-2023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45074</v>
      </c>
      <c r="E634" s="1" t="n">
        <v>46235</v>
      </c>
      <c r="F634" t="inlineStr">
        <is>
          <t>HALLANDS LÄN</t>
        </is>
      </c>
      <c r="G634" t="inlineStr">
        <is>
          <t>FALKENBERG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45270</v>
      </c>
      <c r="E635" s="1" t="n">
        <v>46235</v>
      </c>
      <c r="F635" t="inlineStr">
        <is>
          <t>HALLANDS LÄN</t>
        </is>
      </c>
      <c r="G635" t="inlineStr">
        <is>
          <t>FALKENBERG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58107-2023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45249</v>
      </c>
      <c r="E636" s="1" t="n">
        <v>46235</v>
      </c>
      <c r="F636" t="inlineStr">
        <is>
          <t>HALLANDS LÄN</t>
        </is>
      </c>
      <c r="G636" t="inlineStr">
        <is>
          <t>FALKENBERG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45974-2022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44846</v>
      </c>
      <c r="E637" s="1" t="n">
        <v>46235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46235</v>
      </c>
      <c r="F638" t="inlineStr">
        <is>
          <t>HALLANDS LÄN</t>
        </is>
      </c>
      <c r="G638" t="inlineStr">
        <is>
          <t>FALKENBERG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45970-2022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44846</v>
      </c>
      <c r="E639" s="1" t="n">
        <v>46235</v>
      </c>
      <c r="F639" t="inlineStr">
        <is>
          <t>HALLANDS LÄN</t>
        </is>
      </c>
      <c r="G639" t="inlineStr">
        <is>
          <t>FALKENBERG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46235</v>
      </c>
      <c r="F640" t="inlineStr">
        <is>
          <t>HALLANDS LÄN</t>
        </is>
      </c>
      <c r="G640" t="inlineStr">
        <is>
          <t>FALKENBERG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58089-2023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45248</v>
      </c>
      <c r="E641" s="1" t="n">
        <v>46235</v>
      </c>
      <c r="F641" t="inlineStr">
        <is>
          <t>HALLANDS LÄN</t>
        </is>
      </c>
      <c r="G641" t="inlineStr">
        <is>
          <t>FALKENBERG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45249</v>
      </c>
      <c r="E642" s="1" t="n">
        <v>46235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62712-2023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45271</v>
      </c>
      <c r="E643" s="1" t="n">
        <v>46235</v>
      </c>
      <c r="F643" t="inlineStr">
        <is>
          <t>HALLANDS LÄN</t>
        </is>
      </c>
      <c r="G643" t="inlineStr">
        <is>
          <t>FALKENBERG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20251-2024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45434</v>
      </c>
      <c r="E644" s="1" t="n">
        <v>46235</v>
      </c>
      <c r="F644" t="inlineStr">
        <is>
          <t>HALLANDS LÄN</t>
        </is>
      </c>
      <c r="G644" t="inlineStr">
        <is>
          <t>FALKENBERG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50133-2023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46235</v>
      </c>
      <c r="F645" t="inlineStr">
        <is>
          <t>HALLANDS LÄN</t>
        </is>
      </c>
      <c r="G645" t="inlineStr">
        <is>
          <t>FALKENBERG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46235</v>
      </c>
      <c r="F646" t="inlineStr">
        <is>
          <t>HALLANDS LÄN</t>
        </is>
      </c>
      <c r="G646" t="inlineStr">
        <is>
          <t>FALKENBERG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14602-2023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46235</v>
      </c>
      <c r="F647" t="inlineStr">
        <is>
          <t>HALLANDS LÄN</t>
        </is>
      </c>
      <c r="G647" t="inlineStr">
        <is>
          <t>FALKENBERG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45754</v>
      </c>
      <c r="E648" s="1" t="n">
        <v>46235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61931-2021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44502</v>
      </c>
      <c r="E649" s="1" t="n">
        <v>46235</v>
      </c>
      <c r="F649" t="inlineStr">
        <is>
          <t>HALLANDS LÄN</t>
        </is>
      </c>
      <c r="G649" t="inlineStr">
        <is>
          <t>FALKENBERG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29863-2025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45826</v>
      </c>
      <c r="E650" s="1" t="n">
        <v>46235</v>
      </c>
      <c r="F650" t="inlineStr">
        <is>
          <t>HALLANDS LÄN</t>
        </is>
      </c>
      <c r="G650" t="inlineStr">
        <is>
          <t>FALKENBERG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58109-2023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45249</v>
      </c>
      <c r="E651" s="1" t="n">
        <v>46235</v>
      </c>
      <c r="F651" t="inlineStr">
        <is>
          <t>HALLANDS LÄN</t>
        </is>
      </c>
      <c r="G651" t="inlineStr">
        <is>
          <t>FALKENBERG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45250</v>
      </c>
      <c r="E652" s="1" t="n">
        <v>46235</v>
      </c>
      <c r="F652" t="inlineStr">
        <is>
          <t>HALLANDS LÄN</t>
        </is>
      </c>
      <c r="G652" t="inlineStr">
        <is>
          <t>FALKENBERG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56652-2023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45243</v>
      </c>
      <c r="E653" s="1" t="n">
        <v>46235</v>
      </c>
      <c r="F653" t="inlineStr">
        <is>
          <t>HALLANDS LÄN</t>
        </is>
      </c>
      <c r="G653" t="inlineStr">
        <is>
          <t>FALKENBERG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44943</v>
      </c>
      <c r="E654" s="1" t="n">
        <v>46235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44943</v>
      </c>
      <c r="E655" s="1" t="n">
        <v>46235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43581-2023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45184</v>
      </c>
      <c r="E656" s="1" t="n">
        <v>46235</v>
      </c>
      <c r="F656" t="inlineStr">
        <is>
          <t>HALLANDS LÄN</t>
        </is>
      </c>
      <c r="G656" t="inlineStr">
        <is>
          <t>FALKENBERG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43576-2023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45184</v>
      </c>
      <c r="E657" s="1" t="n">
        <v>46235</v>
      </c>
      <c r="F657" t="inlineStr">
        <is>
          <t>HALLANDS LÄN</t>
        </is>
      </c>
      <c r="G657" t="inlineStr">
        <is>
          <t>FALKENBERG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43610-2023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45184</v>
      </c>
      <c r="E658" s="1" t="n">
        <v>46235</v>
      </c>
      <c r="F658" t="inlineStr">
        <is>
          <t>HALLANDS LÄN</t>
        </is>
      </c>
      <c r="G658" t="inlineStr">
        <is>
          <t>FALKENBERG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203-2022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44574</v>
      </c>
      <c r="E659" s="1" t="n">
        <v>46235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951-2022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44608</v>
      </c>
      <c r="E660" s="1" t="n">
        <v>46235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46235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4308-2023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45259</v>
      </c>
      <c r="E662" s="1" t="n">
        <v>46235</v>
      </c>
      <c r="F662" t="inlineStr">
        <is>
          <t>HALLANDS LÄN</t>
        </is>
      </c>
      <c r="G662" t="inlineStr">
        <is>
          <t>FALKENBERG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621-2024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46235</v>
      </c>
      <c r="F663" t="inlineStr">
        <is>
          <t>HALLANDS LÄN</t>
        </is>
      </c>
      <c r="G663" t="inlineStr">
        <is>
          <t>FALKENBERG</t>
        </is>
      </c>
      <c r="I663" t="n">
        <v>47.3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5495-2021</t>
        </is>
      </c>
      <c r="B664" t="inlineStr">
        <is>
          <t>samrådsanmälan</t>
        </is>
      </c>
      <c r="C664" t="inlineStr">
        <is>
          <t>Basväg</t>
        </is>
      </c>
      <c r="D664" s="1" t="n">
        <v>44431</v>
      </c>
      <c r="E664" s="1" t="n">
        <v>46235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4323-2023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45261</v>
      </c>
      <c r="E665" s="1" t="n">
        <v>46235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792-2024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46235</v>
      </c>
      <c r="F666" t="inlineStr">
        <is>
          <t>HALLANDS LÄN</t>
        </is>
      </c>
      <c r="G666" t="inlineStr">
        <is>
          <t>FALKENBERG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8080-2021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46235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46235</v>
      </c>
      <c r="F668" t="inlineStr">
        <is>
          <t>HALLANDS LÄN</t>
        </is>
      </c>
      <c r="G668" t="inlineStr">
        <is>
          <t>FALKENBERG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366-2024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45330</v>
      </c>
      <c r="E669" s="1" t="n">
        <v>46235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7248-2021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46235</v>
      </c>
      <c r="F670" t="inlineStr">
        <is>
          <t>HALLANDS LÄN</t>
        </is>
      </c>
      <c r="G670" t="inlineStr">
        <is>
          <t>FALKENBERG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557-2024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46235</v>
      </c>
      <c r="F671" t="inlineStr">
        <is>
          <t>HALLANDS LÄN</t>
        </is>
      </c>
      <c r="G671" t="inlineStr">
        <is>
          <t>FALKENBERG</t>
        </is>
      </c>
      <c r="I671" t="n">
        <v>20.6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625-2024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46235</v>
      </c>
      <c r="F672" t="inlineStr">
        <is>
          <t>HALLANDS LÄN</t>
        </is>
      </c>
      <c r="G672" t="inlineStr">
        <is>
          <t>FALKENBERG</t>
        </is>
      </c>
      <c r="I672" t="n">
        <v>45.6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1742-2024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45435</v>
      </c>
      <c r="E673" s="1" t="n">
        <v>46235</v>
      </c>
      <c r="F673" t="inlineStr">
        <is>
          <t>HALLANDS LÄN</t>
        </is>
      </c>
      <c r="G673" t="inlineStr">
        <is>
          <t>FALKENBERG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794-2024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46235</v>
      </c>
      <c r="F674" t="inlineStr">
        <is>
          <t>HALLANDS LÄN</t>
        </is>
      </c>
      <c r="G674" t="inlineStr">
        <is>
          <t>FALKENBERG</t>
        </is>
      </c>
      <c r="I674" t="n">
        <v>33.4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7247-2021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46235</v>
      </c>
      <c r="F675" t="inlineStr">
        <is>
          <t>HALLANDS LÄN</t>
        </is>
      </c>
      <c r="G675" t="inlineStr">
        <is>
          <t>FALKENBERG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4192-2024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45580</v>
      </c>
      <c r="E676" s="1" t="n">
        <v>46235</v>
      </c>
      <c r="F676" t="inlineStr">
        <is>
          <t>HALLANDS LÄN</t>
        </is>
      </c>
      <c r="G676" t="inlineStr">
        <is>
          <t>FALKENBERG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793-2024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46235</v>
      </c>
      <c r="F677" t="inlineStr">
        <is>
          <t>HALLANDS LÄN</t>
        </is>
      </c>
      <c r="G677" t="inlineStr">
        <is>
          <t>FALKENBERG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403-2024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45335</v>
      </c>
      <c r="E678" s="1" t="n">
        <v>46235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3407-2024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45534</v>
      </c>
      <c r="E679" s="1" t="n">
        <v>46235</v>
      </c>
      <c r="F679" t="inlineStr">
        <is>
          <t>HALLANDS LÄN</t>
        </is>
      </c>
      <c r="G679" t="inlineStr">
        <is>
          <t>FALKENBERG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44967</v>
      </c>
      <c r="E680" s="1" t="n">
        <v>46235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616-2024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45352</v>
      </c>
      <c r="E681" s="1" t="n">
        <v>46235</v>
      </c>
      <c r="F681" t="inlineStr">
        <is>
          <t>HALLANDS LÄN</t>
        </is>
      </c>
      <c r="G681" t="inlineStr">
        <is>
          <t>FALKENBERG</t>
        </is>
      </c>
      <c r="I681" t="n">
        <v>70.59999999999999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8081-2021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44489</v>
      </c>
      <c r="E682" s="1" t="n">
        <v>46235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1009-2025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46235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1008-2025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46235</v>
      </c>
      <c r="F684" t="inlineStr">
        <is>
          <t>HALLANDS LÄN</t>
        </is>
      </c>
      <c r="G684" t="inlineStr">
        <is>
          <t>FALKENBERG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1073-2025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45750</v>
      </c>
      <c r="E685" s="1" t="n">
        <v>46235</v>
      </c>
      <c r="F685" t="inlineStr">
        <is>
          <t>HALLANDS LÄN</t>
        </is>
      </c>
      <c r="G685" t="inlineStr">
        <is>
          <t>FALKENBERG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1154-2025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45756</v>
      </c>
      <c r="E686" s="1" t="n">
        <v>46235</v>
      </c>
      <c r="F686" t="inlineStr">
        <is>
          <t>HALLANDS LÄN</t>
        </is>
      </c>
      <c r="G686" t="inlineStr">
        <is>
          <t>FALKENBERG</t>
        </is>
      </c>
      <c r="I686" t="n">
        <v>17.8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46235</v>
      </c>
      <c r="F687" t="inlineStr">
        <is>
          <t>HALLANDS LÄN</t>
        </is>
      </c>
      <c r="G687" t="inlineStr">
        <is>
          <t>FALKENBERG</t>
        </is>
      </c>
      <c r="I687" t="n">
        <v>40.4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2536-2025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45910</v>
      </c>
      <c r="E688" s="1" t="n">
        <v>46235</v>
      </c>
      <c r="F688" t="inlineStr">
        <is>
          <t>HALLANDS LÄN</t>
        </is>
      </c>
      <c r="G688" t="inlineStr">
        <is>
          <t>FALKENBERG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46020</v>
      </c>
      <c r="E689" s="1" t="n">
        <v>46235</v>
      </c>
      <c r="F689" t="inlineStr">
        <is>
          <t>HALLANDS LÄN</t>
        </is>
      </c>
      <c r="G689" t="inlineStr">
        <is>
          <t>FALKENBERG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46235</v>
      </c>
      <c r="F690" t="inlineStr">
        <is>
          <t>HALLANDS LÄN</t>
        </is>
      </c>
      <c r="G690" t="inlineStr">
        <is>
          <t>FALKENBERG</t>
        </is>
      </c>
      <c r="I690" t="n">
        <v>31.6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313-2026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46058</v>
      </c>
      <c r="E691" s="1" t="n">
        <v>46235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1015-2026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46122</v>
      </c>
      <c r="E692" s="1" t="n">
        <v>46235</v>
      </c>
      <c r="F692" t="inlineStr">
        <is>
          <t>HALLANDS LÄN</t>
        </is>
      </c>
      <c r="G692" t="inlineStr">
        <is>
          <t>FALKENBERG</t>
        </is>
      </c>
      <c r="I692" t="n">
        <v>24.7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1401-2026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46235</v>
      </c>
      <c r="F693" t="inlineStr">
        <is>
          <t>HALLANDS LÄN</t>
        </is>
      </c>
      <c r="G693" t="inlineStr">
        <is>
          <t>FALKENBERG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46235</v>
      </c>
      <c r="F694" t="inlineStr">
        <is>
          <t>HALLANDS LÄN</t>
        </is>
      </c>
      <c r="G694" t="inlineStr">
        <is>
          <t>FALKENBERG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1399-2026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46235</v>
      </c>
      <c r="F695" t="inlineStr">
        <is>
          <t>HALLANDS LÄN</t>
        </is>
      </c>
      <c r="G695" t="inlineStr">
        <is>
          <t>FALKENBERG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1397-2026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46235</v>
      </c>
      <c r="F696" t="inlineStr">
        <is>
          <t>HALLANDS LÄN</t>
        </is>
      </c>
      <c r="G696" t="inlineStr">
        <is>
          <t>FALKENBERG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1442-2026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46160</v>
      </c>
      <c r="E697" s="1" t="n">
        <v>46235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2002-2026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46206</v>
      </c>
      <c r="E698" s="1" t="n">
        <v>46235</v>
      </c>
      <c r="F698" t="inlineStr">
        <is>
          <t>HALLANDS LÄN</t>
        </is>
      </c>
      <c r="G698" t="inlineStr">
        <is>
          <t>FALKENBERG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2026-08-01T01:50:56Z</dcterms:created>
  <dcterms:modified xmlns:dcterms="http://purl.org/dc/terms/" xmlns:xsi="http://www.w3.org/2001/XMLSchema-instance" xsi:type="dcterms:W3CDTF">2026-08-01T01:50:56Z</dcterms:modified>
</cp:coreProperties>
</file>