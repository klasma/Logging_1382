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46230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46230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46230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46230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46230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46230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46230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46230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46230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46230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24055-2024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45456</v>
      </c>
      <c r="E13" s="1" t="n">
        <v>46230</v>
      </c>
      <c r="F13" t="inlineStr">
        <is>
          <t>HALLANDS LÄN</t>
        </is>
      </c>
      <c r="G13" t="inlineStr">
        <is>
          <t>FALKENBERG</t>
        </is>
      </c>
      <c r="I13" t="n">
        <v>7.7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4</v>
      </c>
      <c r="V13" s="2" t="inlineStr">
        <is>
          <t>Tjäder
Revlummer</t>
        </is>
      </c>
      <c r="W13">
        <f>HYPERLINK("https://klasma.github.io/Logging_1382/artfynd/A 24055-2024 artfynd.xlsx", "A 24055-2024")</f>
        <v/>
      </c>
      <c r="X13">
        <f>HYPERLINK("https://klasma.github.io/Logging_1382/kartor/A 24055-2024 karta.png", "A 24055-2024")</f>
        <v/>
      </c>
      <c r="Y13">
        <f>HYPERLINK("https://klasma.github.io/Logging_1382/kartor_geotiff/A 24055-2024 georefererad karta.tif", "A 24055-2024")</f>
        <v/>
      </c>
      <c r="AA13">
        <f>HYPERLINK("https://klasma.github.io/Logging_1382/klagomål/A 24055-2024 FSC-klagomål.docx", "A 24055-2024")</f>
        <v/>
      </c>
      <c r="AB13">
        <f>HYPERLINK("https://klasma.github.io/Logging_1382/klagomålsmail/A 24055-2024 FSC-klagomål mail.docx", "A 24055-2024")</f>
        <v/>
      </c>
      <c r="AC13">
        <f>HYPERLINK("https://klasma.github.io/Logging_1382/tillsyn/A 24055-2024 tillsynsbegäran.docx", "A 24055-2024")</f>
        <v/>
      </c>
      <c r="AD13">
        <f>HYPERLINK("https://klasma.github.io/Logging_1382/tillsynsmail/A 24055-2024 tillsynsbegäran mail.docx", "A 24055-2024")</f>
        <v/>
      </c>
      <c r="AE13">
        <f>HYPERLINK("https://klasma.github.io/Logging_1382/fåglar/A 24055-2024 prioriterade fågelarter.docx", "A 24055-2024")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46230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46230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46230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46230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46230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46230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46230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46230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46230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46230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46230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46230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46230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46230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46230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46230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21814-2023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46230</v>
      </c>
      <c r="F30" t="inlineStr">
        <is>
          <t>HALLANDS LÄN</t>
        </is>
      </c>
      <c r="G30" t="inlineStr">
        <is>
          <t>FALKENBERG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21814-2023 artfynd.xlsx", "A 21814-2023")</f>
        <v/>
      </c>
      <c r="X30">
        <f>HYPERLINK("https://klasma.github.io/Logging_1382/kartor/A 21814-2023 karta.png", "A 21814-2023")</f>
        <v/>
      </c>
      <c r="Y30">
        <f>HYPERLINK("https://klasma.github.io/Logging_1382/kartor_geotiff/A 21814-2023 georefererad karta.tif", "A 21814-2023")</f>
        <v/>
      </c>
      <c r="AA30">
        <f>HYPERLINK("https://klasma.github.io/Logging_1382/klagomål/A 21814-2023 FSC-klagomål.docx", "A 21814-2023")</f>
        <v/>
      </c>
      <c r="AB30">
        <f>HYPERLINK("https://klasma.github.io/Logging_1382/klagomålsmail/A 21814-2023 FSC-klagomål mail.docx", "A 21814-2023")</f>
        <v/>
      </c>
      <c r="AC30">
        <f>HYPERLINK("https://klasma.github.io/Logging_1382/tillsyn/A 21814-2023 tillsynsbegäran.docx", "A 21814-2023")</f>
        <v/>
      </c>
      <c r="AD30">
        <f>HYPERLINK("https://klasma.github.io/Logging_1382/tillsynsmail/A 21814-2023 tillsynsbegäran mail.docx", "A 21814-2023")</f>
        <v/>
      </c>
    </row>
    <row r="31" ht="15" customHeight="1">
      <c r="A31" t="inlineStr">
        <is>
          <t>A 63130-2023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45273</v>
      </c>
      <c r="E31" s="1" t="n">
        <v>46230</v>
      </c>
      <c r="F31" t="inlineStr">
        <is>
          <t>HALLANDS LÄN</t>
        </is>
      </c>
      <c r="G31" t="inlineStr">
        <is>
          <t>FALKENBERG</t>
        </is>
      </c>
      <c r="I31" t="n">
        <v>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HYPERLINK("https://klasma.github.io/Logging_1382/artfynd/A 63130-2023 artfynd.xlsx", "A 63130-2023")</f>
        <v/>
      </c>
      <c r="X31">
        <f>HYPERLINK("https://klasma.github.io/Logging_1382/kartor/A 63130-2023 karta.png", "A 63130-2023")</f>
        <v/>
      </c>
      <c r="Y31">
        <f>HYPERLINK("https://klasma.github.io/Logging_1382/kartor_geotiff/A 63130-2023 georefererad karta.tif", "A 63130-2023")</f>
        <v/>
      </c>
      <c r="AA31">
        <f>HYPERLINK("https://klasma.github.io/Logging_1382/klagomål/A 63130-2023 FSC-klagomål.docx", "A 63130-2023")</f>
        <v/>
      </c>
      <c r="AB31">
        <f>HYPERLINK("https://klasma.github.io/Logging_1382/klagomålsmail/A 63130-2023 FSC-klagomål mail.docx", "A 63130-2023")</f>
        <v/>
      </c>
      <c r="AC31">
        <f>HYPERLINK("https://klasma.github.io/Logging_1382/tillsyn/A 63130-2023 tillsynsbegäran.docx", "A 63130-2023")</f>
        <v/>
      </c>
      <c r="AD31">
        <f>HYPERLINK("https://klasma.github.io/Logging_1382/tillsynsmail/A 63130-2023 tillsynsbegäran mail.docx", "A 63130-2023")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46230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43912-2025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45914</v>
      </c>
      <c r="E33" s="1" t="n">
        <v>46230</v>
      </c>
      <c r="F33" t="inlineStr">
        <is>
          <t>HALLANDS LÄN</t>
        </is>
      </c>
      <c r="G33" t="inlineStr">
        <is>
          <t>FALKENBERG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HYPERLINK("https://klasma.github.io/Logging_1382/artfynd/A 43912-2025 artfynd.xlsx", "A 43912-2025")</f>
        <v/>
      </c>
      <c r="X33">
        <f>HYPERLINK("https://klasma.github.io/Logging_1382/kartor/A 43912-2025 karta.png", "A 43912-2025")</f>
        <v/>
      </c>
      <c r="Y33">
        <f>HYPERLINK("https://klasma.github.io/Logging_1382/kartor_geotiff/A 43912-2025 georefererad karta.tif", "A 43912-2025")</f>
        <v/>
      </c>
      <c r="AA33">
        <f>HYPERLINK("https://klasma.github.io/Logging_1382/klagomål/A 43912-2025 FSC-klagomål.docx", "A 43912-2025")</f>
        <v/>
      </c>
      <c r="AB33">
        <f>HYPERLINK("https://klasma.github.io/Logging_1382/klagomålsmail/A 43912-2025 FSC-klagomål mail.docx", "A 43912-2025")</f>
        <v/>
      </c>
      <c r="AC33">
        <f>HYPERLINK("https://klasma.github.io/Logging_1382/tillsyn/A 43912-2025 tillsynsbegäran.docx", "A 43912-2025")</f>
        <v/>
      </c>
      <c r="AD33">
        <f>HYPERLINK("https://klasma.github.io/Logging_1382/tillsynsmail/A 43912-2025 tillsynsbegäran mail.docx", "A 43912-2025")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46230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45977-2024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46230</v>
      </c>
      <c r="F35" t="inlineStr">
        <is>
          <t>HALLANDS LÄN</t>
        </is>
      </c>
      <c r="G35" t="inlineStr">
        <is>
          <t>FALKENBERG</t>
        </is>
      </c>
      <c r="I35" t="n">
        <v>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Lax</t>
        </is>
      </c>
      <c r="W35">
        <f>HYPERLINK("https://klasma.github.io/Logging_1382/artfynd/A 45977-2024 artfynd.xlsx", "A 45977-2024")</f>
        <v/>
      </c>
      <c r="X35">
        <f>HYPERLINK("https://klasma.github.io/Logging_1382/kartor/A 45977-2024 karta.png", "A 45977-2024")</f>
        <v/>
      </c>
      <c r="Y35">
        <f>HYPERLINK("https://klasma.github.io/Logging_1382/kartor_geotiff/A 45977-2024 georefererad karta.tif", "A 45977-2024")</f>
        <v/>
      </c>
      <c r="AA35">
        <f>HYPERLINK("https://klasma.github.io/Logging_1382/klagomål/A 45977-2024 FSC-klagomål.docx", "A 45977-2024")</f>
        <v/>
      </c>
      <c r="AB35">
        <f>HYPERLINK("https://klasma.github.io/Logging_1382/klagomålsmail/A 45977-2024 FSC-klagomål mail.docx", "A 45977-2024")</f>
        <v/>
      </c>
      <c r="AC35">
        <f>HYPERLINK("https://klasma.github.io/Logging_1382/tillsyn/A 45977-2024 tillsynsbegäran.docx", "A 45977-2024")</f>
        <v/>
      </c>
      <c r="AD35">
        <f>HYPERLINK("https://klasma.github.io/Logging_1382/tillsynsmail/A 45977-2024 tillsynsbegäran mail.docx", "A 45977-2024")</f>
        <v/>
      </c>
    </row>
    <row r="36" ht="15" customHeight="1">
      <c r="A36" t="inlineStr">
        <is>
          <t>A 41802-2024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46230</v>
      </c>
      <c r="F36" t="inlineStr">
        <is>
          <t>HALLANDS LÄN</t>
        </is>
      </c>
      <c r="G36" t="inlineStr">
        <is>
          <t>FALKENBERG</t>
        </is>
      </c>
      <c r="I36" t="n">
        <v>1.6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HYPERLINK("https://klasma.github.io/Logging_1382/artfynd/A 41802-2024 artfynd.xlsx", "A 41802-2024")</f>
        <v/>
      </c>
      <c r="X36">
        <f>HYPERLINK("https://klasma.github.io/Logging_1382/kartor/A 41802-2024 karta.png", "A 41802-2024")</f>
        <v/>
      </c>
      <c r="Y36">
        <f>HYPERLINK("https://klasma.github.io/Logging_1382/kartor_geotiff/A 41802-2024 georefererad karta.tif", "A 41802-2024")</f>
        <v/>
      </c>
      <c r="AA36">
        <f>HYPERLINK("https://klasma.github.io/Logging_1382/klagomål/A 41802-2024 FSC-klagomål.docx", "A 41802-2024")</f>
        <v/>
      </c>
      <c r="AB36">
        <f>HYPERLINK("https://klasma.github.io/Logging_1382/klagomålsmail/A 41802-2024 FSC-klagomål mail.docx", "A 41802-2024")</f>
        <v/>
      </c>
      <c r="AC36">
        <f>HYPERLINK("https://klasma.github.io/Logging_1382/tillsyn/A 41802-2024 tillsynsbegäran.docx", "A 41802-2024")</f>
        <v/>
      </c>
      <c r="AD36">
        <f>HYPERLINK("https://klasma.github.io/Logging_1382/tillsynsmail/A 41802-2024 tillsynsbegäran mail.docx", "A 41802-2024")</f>
        <v/>
      </c>
    </row>
    <row r="37" ht="15" customHeight="1">
      <c r="A37" t="inlineStr">
        <is>
          <t>A 58534-2022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44902</v>
      </c>
      <c r="E37" s="1" t="n">
        <v>46230</v>
      </c>
      <c r="F37" t="inlineStr">
        <is>
          <t>HALLANDS LÄN</t>
        </is>
      </c>
      <c r="G37" t="inlineStr">
        <is>
          <t>FALKENBERG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HYPERLINK("https://klasma.github.io/Logging_1382/artfynd/A 58534-2022 artfynd.xlsx", "A 58534-2022")</f>
        <v/>
      </c>
      <c r="X37">
        <f>HYPERLINK("https://klasma.github.io/Logging_1382/kartor/A 58534-2022 karta.png", "A 58534-2022")</f>
        <v/>
      </c>
      <c r="Y37">
        <f>HYPERLINK("https://klasma.github.io/Logging_1382/kartor_geotiff/A 58534-2022 georefererad karta.tif", "A 58534-2022")</f>
        <v/>
      </c>
      <c r="AA37">
        <f>HYPERLINK("https://klasma.github.io/Logging_1382/klagomål/A 58534-2022 FSC-klagomål.docx", "A 58534-2022")</f>
        <v/>
      </c>
      <c r="AB37">
        <f>HYPERLINK("https://klasma.github.io/Logging_1382/klagomålsmail/A 58534-2022 FSC-klagomål mail.docx", "A 58534-2022")</f>
        <v/>
      </c>
      <c r="AC37">
        <f>HYPERLINK("https://klasma.github.io/Logging_1382/tillsyn/A 58534-2022 tillsynsbegäran.docx", "A 58534-2022")</f>
        <v/>
      </c>
      <c r="AD37">
        <f>HYPERLINK("https://klasma.github.io/Logging_1382/tillsynsmail/A 58534-2022 tillsynsbegäran mail.docx", "A 58534-2022")</f>
        <v/>
      </c>
    </row>
    <row r="38" ht="15" customHeight="1">
      <c r="A38" t="inlineStr">
        <is>
          <t>A 42551-2024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46230</v>
      </c>
      <c r="F38" t="inlineStr">
        <is>
          <t>HALLANDS LÄN</t>
        </is>
      </c>
      <c r="G38" t="inlineStr">
        <is>
          <t>FALKENBERG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Röd glada</t>
        </is>
      </c>
      <c r="W38">
        <f>HYPERLINK("https://klasma.github.io/Logging_1382/artfynd/A 42551-2024 artfynd.xlsx", "A 42551-2024")</f>
        <v/>
      </c>
      <c r="X38">
        <f>HYPERLINK("https://klasma.github.io/Logging_1382/kartor/A 42551-2024 karta.png", "A 42551-2024")</f>
        <v/>
      </c>
      <c r="Y38">
        <f>HYPERLINK("https://klasma.github.io/Logging_1382/kartor_geotiff/A 42551-2024 georefererad karta.tif", "A 42551-2024")</f>
        <v/>
      </c>
      <c r="AA38">
        <f>HYPERLINK("https://klasma.github.io/Logging_1382/klagomål/A 42551-2024 FSC-klagomål.docx", "A 42551-2024")</f>
        <v/>
      </c>
      <c r="AB38">
        <f>HYPERLINK("https://klasma.github.io/Logging_1382/klagomålsmail/A 42551-2024 FSC-klagomål mail.docx", "A 42551-2024")</f>
        <v/>
      </c>
      <c r="AC38">
        <f>HYPERLINK("https://klasma.github.io/Logging_1382/tillsyn/A 42551-2024 tillsynsbegäran.docx", "A 42551-2024")</f>
        <v/>
      </c>
      <c r="AD38">
        <f>HYPERLINK("https://klasma.github.io/Logging_1382/tillsynsmail/A 42551-2024 tillsynsbegäran mail.docx", "A 42551-2024")</f>
        <v/>
      </c>
      <c r="AE38">
        <f>HYPERLINK("https://klasma.github.io/Logging_1382/fåglar/A 42551-2024 prioriterade fågelarter.docx", "A 42551-2024")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46230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7696-2023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46230</v>
      </c>
      <c r="F40" t="inlineStr">
        <is>
          <t>HALLANDS LÄN</t>
        </is>
      </c>
      <c r="G40" t="inlineStr">
        <is>
          <t>FALKENBERG</t>
        </is>
      </c>
      <c r="I40" t="n">
        <v>6.3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HYPERLINK("https://klasma.github.io/Logging_1382/artfynd/A 7696-2023 artfynd.xlsx", "A 7696-2023")</f>
        <v/>
      </c>
      <c r="X40">
        <f>HYPERLINK("https://klasma.github.io/Logging_1382/kartor/A 7696-2023 karta.png", "A 7696-2023")</f>
        <v/>
      </c>
      <c r="Y40">
        <f>HYPERLINK("https://klasma.github.io/Logging_1382/kartor_geotiff/A 7696-2023 georefererad karta.tif", "A 7696-2023")</f>
        <v/>
      </c>
      <c r="AA40">
        <f>HYPERLINK("https://klasma.github.io/Logging_1382/klagomål/A 7696-2023 FSC-klagomål.docx", "A 7696-2023")</f>
        <v/>
      </c>
      <c r="AB40">
        <f>HYPERLINK("https://klasma.github.io/Logging_1382/klagomålsmail/A 7696-2023 FSC-klagomål mail.docx", "A 7696-2023")</f>
        <v/>
      </c>
      <c r="AC40">
        <f>HYPERLINK("https://klasma.github.io/Logging_1382/tillsyn/A 7696-2023 tillsynsbegäran.docx", "A 7696-2023")</f>
        <v/>
      </c>
      <c r="AD40">
        <f>HYPERLINK("https://klasma.github.io/Logging_1382/tillsynsmail/A 7696-2023 tillsynsbegäran mail.docx", "A 7696-2023")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46230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46230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46230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46230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46230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46230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46230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46230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46230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46230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46230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46230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46230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46230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46230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46230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46230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46230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46230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46230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46230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46230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46230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46230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46230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46230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46230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46230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46230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46230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46230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46230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46230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46230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46230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46230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46230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46230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46230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46230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46230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46230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46230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46230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46230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46230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46230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46230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46230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46230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46230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46230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46230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46230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46230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46230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46230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46230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46230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46230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46230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46230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46230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46230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46230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46230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46230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46230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46230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46230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46230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70733-2021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46230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46230</v>
      </c>
      <c r="F113" t="inlineStr">
        <is>
          <t>HALLANDS LÄN</t>
        </is>
      </c>
      <c r="G113" t="inlineStr">
        <is>
          <t>FALKENBERG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46230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46230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46230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46230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44407</v>
      </c>
      <c r="E118" s="1" t="n">
        <v>46230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46230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46230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46230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46230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46230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44576</v>
      </c>
      <c r="E124" s="1" t="n">
        <v>46230</v>
      </c>
      <c r="F124" t="inlineStr">
        <is>
          <t>HALLANDS LÄN</t>
        </is>
      </c>
      <c r="G124" t="inlineStr">
        <is>
          <t>FALKENBERG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46230</v>
      </c>
      <c r="F125" t="inlineStr">
        <is>
          <t>HALLANDS LÄN</t>
        </is>
      </c>
      <c r="G125" t="inlineStr">
        <is>
          <t>FALKENBERG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44985</v>
      </c>
      <c r="E126" s="1" t="n">
        <v>46230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46230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46230</v>
      </c>
      <c r="F128" t="inlineStr">
        <is>
          <t>HALLANDS LÄN</t>
        </is>
      </c>
      <c r="G128" t="inlineStr">
        <is>
          <t>FALKENBERG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46230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46230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46230</v>
      </c>
      <c r="F131" t="inlineStr">
        <is>
          <t>HALLANDS LÄN</t>
        </is>
      </c>
      <c r="G131" t="inlineStr">
        <is>
          <t>FALKENBERG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46230</v>
      </c>
      <c r="F132" t="inlineStr">
        <is>
          <t>HALLANDS LÄN</t>
        </is>
      </c>
      <c r="G132" t="inlineStr">
        <is>
          <t>FALKENBERG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46230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46230</v>
      </c>
      <c r="F134" t="inlineStr">
        <is>
          <t>HALLANDS LÄN</t>
        </is>
      </c>
      <c r="G134" t="inlineStr">
        <is>
          <t>FALKENBERG</t>
        </is>
      </c>
      <c r="H134" t="inlineStr">
        <is>
          <t>Kyrkan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46230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46230</v>
      </c>
      <c r="F136" t="inlineStr">
        <is>
          <t>HALLANDS LÄN</t>
        </is>
      </c>
      <c r="G136" t="inlineStr">
        <is>
          <t>FALKENBERG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46230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46230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46230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46230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45019</v>
      </c>
      <c r="E141" s="1" t="n">
        <v>46230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46230</v>
      </c>
      <c r="F142" t="inlineStr">
        <is>
          <t>HALLANDS LÄN</t>
        </is>
      </c>
      <c r="G142" t="inlineStr">
        <is>
          <t>FALKENBERG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46230</v>
      </c>
      <c r="F143" t="inlineStr">
        <is>
          <t>HALLANDS LÄN</t>
        </is>
      </c>
      <c r="G143" t="inlineStr">
        <is>
          <t>FALKENBERG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46230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44999</v>
      </c>
      <c r="E145" s="1" t="n">
        <v>46230</v>
      </c>
      <c r="F145" t="inlineStr">
        <is>
          <t>HALLANDS LÄN</t>
        </is>
      </c>
      <c r="G145" t="inlineStr">
        <is>
          <t>FALKENBERG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46230</v>
      </c>
      <c r="F146" t="inlineStr">
        <is>
          <t>HALLANDS LÄN</t>
        </is>
      </c>
      <c r="G146" t="inlineStr">
        <is>
          <t>FALKENBERG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46230</v>
      </c>
      <c r="F147" t="inlineStr">
        <is>
          <t>HALLANDS LÄN</t>
        </is>
      </c>
      <c r="G147" t="inlineStr">
        <is>
          <t>FALKENBERG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46230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45300</v>
      </c>
      <c r="E149" s="1" t="n">
        <v>46230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46230</v>
      </c>
      <c r="F150" t="inlineStr">
        <is>
          <t>HALLANDS LÄN</t>
        </is>
      </c>
      <c r="G150" t="inlineStr">
        <is>
          <t>FALKENBERG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46230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72277-2021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44545</v>
      </c>
      <c r="E152" s="1" t="n">
        <v>46230</v>
      </c>
      <c r="F152" t="inlineStr">
        <is>
          <t>HALLANDS LÄN</t>
        </is>
      </c>
      <c r="G152" t="inlineStr">
        <is>
          <t>FALKENBERG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46230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46230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46230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46230</v>
      </c>
      <c r="F156" t="inlineStr">
        <is>
          <t>HALLANDS LÄN</t>
        </is>
      </c>
      <c r="G156" t="inlineStr">
        <is>
          <t>FALKENBERG</t>
        </is>
      </c>
      <c r="H156" t="inlineStr">
        <is>
          <t>Kommuner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46230</v>
      </c>
      <c r="F157" t="inlineStr">
        <is>
          <t>HALLANDS LÄN</t>
        </is>
      </c>
      <c r="G157" t="inlineStr">
        <is>
          <t>FALKENBERG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46230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46230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46230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46230</v>
      </c>
      <c r="F161" t="inlineStr">
        <is>
          <t>HALLANDS LÄN</t>
        </is>
      </c>
      <c r="G161" t="inlineStr">
        <is>
          <t>FALKENBERG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46230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46230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46230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46230</v>
      </c>
      <c r="F165" t="inlineStr">
        <is>
          <t>HALLANDS LÄN</t>
        </is>
      </c>
      <c r="G165" t="inlineStr">
        <is>
          <t>FALKENBERG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46230</v>
      </c>
      <c r="F166" t="inlineStr">
        <is>
          <t>HALLANDS LÄN</t>
        </is>
      </c>
      <c r="G166" t="inlineStr">
        <is>
          <t>FALKENBERG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46230</v>
      </c>
      <c r="F167" t="inlineStr">
        <is>
          <t>HALLANDS LÄN</t>
        </is>
      </c>
      <c r="G167" t="inlineStr">
        <is>
          <t>FALKENBERG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18813-2023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46230</v>
      </c>
      <c r="F168" t="inlineStr">
        <is>
          <t>HALLANDS LÄN</t>
        </is>
      </c>
      <c r="G168" t="inlineStr">
        <is>
          <t>FALKENBERG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46230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46230</v>
      </c>
      <c r="F170" t="inlineStr">
        <is>
          <t>HALLANDS LÄN</t>
        </is>
      </c>
      <c r="G170" t="inlineStr">
        <is>
          <t>FALKENBERG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46230</v>
      </c>
      <c r="F171" t="inlineStr">
        <is>
          <t>HALLANDS LÄN</t>
        </is>
      </c>
      <c r="G171" t="inlineStr">
        <is>
          <t>FALKENBERG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46230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46230</v>
      </c>
      <c r="F173" t="inlineStr">
        <is>
          <t>HALLANDS LÄN</t>
        </is>
      </c>
      <c r="G173" t="inlineStr">
        <is>
          <t>FALKENBERG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44689</v>
      </c>
      <c r="E174" s="1" t="n">
        <v>46230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46230</v>
      </c>
      <c r="F175" t="inlineStr">
        <is>
          <t>HALLANDS LÄN</t>
        </is>
      </c>
      <c r="G175" t="inlineStr">
        <is>
          <t>FALKENBERG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46230</v>
      </c>
      <c r="F176" t="inlineStr">
        <is>
          <t>HALLANDS LÄN</t>
        </is>
      </c>
      <c r="G176" t="inlineStr">
        <is>
          <t>FALKENBERG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46230</v>
      </c>
      <c r="F177" t="inlineStr">
        <is>
          <t>HALLANDS LÄN</t>
        </is>
      </c>
      <c r="G177" t="inlineStr">
        <is>
          <t>FALKENBERG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46230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46230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44974</v>
      </c>
      <c r="E180" s="1" t="n">
        <v>46230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46230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45226</v>
      </c>
      <c r="E182" s="1" t="n">
        <v>46230</v>
      </c>
      <c r="F182" t="inlineStr">
        <is>
          <t>HALLANDS LÄN</t>
        </is>
      </c>
      <c r="G182" t="inlineStr">
        <is>
          <t>FALKENBERG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46230</v>
      </c>
      <c r="F183" t="inlineStr">
        <is>
          <t>HALLANDS LÄN</t>
        </is>
      </c>
      <c r="G183" t="inlineStr">
        <is>
          <t>FALKENBERG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46230</v>
      </c>
      <c r="F184" t="inlineStr">
        <is>
          <t>HALLANDS LÄN</t>
        </is>
      </c>
      <c r="G184" t="inlineStr">
        <is>
          <t>FALKENBERG</t>
        </is>
      </c>
      <c r="H184" t="inlineStr">
        <is>
          <t>Bergvik skog väst AB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46230</v>
      </c>
      <c r="F185" t="inlineStr">
        <is>
          <t>HALLANDS LÄN</t>
        </is>
      </c>
      <c r="G185" t="inlineStr">
        <is>
          <t>FALKENBERG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45481</v>
      </c>
      <c r="E186" s="1" t="n">
        <v>46230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46230</v>
      </c>
      <c r="F187" t="inlineStr">
        <is>
          <t>HALLANDS LÄN</t>
        </is>
      </c>
      <c r="G187" t="inlineStr">
        <is>
          <t>FALKENBERG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46230</v>
      </c>
      <c r="F188" t="inlineStr">
        <is>
          <t>HALLANDS LÄN</t>
        </is>
      </c>
      <c r="G188" t="inlineStr">
        <is>
          <t>FALKENBERG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46230</v>
      </c>
      <c r="F189" t="inlineStr">
        <is>
          <t>HALLANDS LÄN</t>
        </is>
      </c>
      <c r="G189" t="inlineStr">
        <is>
          <t>FALKENBERG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44811</v>
      </c>
      <c r="E190" s="1" t="n">
        <v>46230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46230</v>
      </c>
      <c r="F191" t="inlineStr">
        <is>
          <t>HALLANDS LÄN</t>
        </is>
      </c>
      <c r="G191" t="inlineStr">
        <is>
          <t>FALKENBERG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45079</v>
      </c>
      <c r="E192" s="1" t="n">
        <v>46230</v>
      </c>
      <c r="F192" t="inlineStr">
        <is>
          <t>HALLANDS LÄN</t>
        </is>
      </c>
      <c r="G192" t="inlineStr">
        <is>
          <t>FALKENBERG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46230</v>
      </c>
      <c r="F193" t="inlineStr">
        <is>
          <t>HALLANDS LÄN</t>
        </is>
      </c>
      <c r="G193" t="inlineStr">
        <is>
          <t>FALKENBERG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46230</v>
      </c>
      <c r="F194" t="inlineStr">
        <is>
          <t>HALLANDS LÄN</t>
        </is>
      </c>
      <c r="G194" t="inlineStr">
        <is>
          <t>FALKENBERG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46230</v>
      </c>
      <c r="F195" t="inlineStr">
        <is>
          <t>HALLANDS LÄN</t>
        </is>
      </c>
      <c r="G195" t="inlineStr">
        <is>
          <t>FALKENBERG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45434</v>
      </c>
      <c r="E196" s="1" t="n">
        <v>46230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46230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46230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45074</v>
      </c>
      <c r="E199" s="1" t="n">
        <v>46230</v>
      </c>
      <c r="F199" t="inlineStr">
        <is>
          <t>HALLANDS LÄN</t>
        </is>
      </c>
      <c r="G199" t="inlineStr">
        <is>
          <t>FALKENBERG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46230</v>
      </c>
      <c r="F200" t="inlineStr">
        <is>
          <t>HALLANDS LÄN</t>
        </is>
      </c>
      <c r="G200" t="inlineStr">
        <is>
          <t>FALKENBERG</t>
        </is>
      </c>
      <c r="H200" t="inlineStr">
        <is>
          <t>Bergvik skog väst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44943</v>
      </c>
      <c r="E201" s="1" t="n">
        <v>46230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46230</v>
      </c>
      <c r="F202" t="inlineStr">
        <is>
          <t>HALLANDS LÄN</t>
        </is>
      </c>
      <c r="G202" t="inlineStr">
        <is>
          <t>FALKENBERG</t>
        </is>
      </c>
      <c r="H202" t="inlineStr">
        <is>
          <t>Bergvik skog väst AB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46230</v>
      </c>
      <c r="F203" t="inlineStr">
        <is>
          <t>HALLANDS LÄN</t>
        </is>
      </c>
      <c r="G203" t="inlineStr">
        <is>
          <t>FALKENBERG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46230</v>
      </c>
      <c r="F204" t="inlineStr">
        <is>
          <t>HALLANDS LÄN</t>
        </is>
      </c>
      <c r="G204" t="inlineStr">
        <is>
          <t>FALKENBERG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45350</v>
      </c>
      <c r="E205" s="1" t="n">
        <v>46230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65081-2021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46230</v>
      </c>
      <c r="F206" t="inlineStr">
        <is>
          <t>HALLANDS LÄN</t>
        </is>
      </c>
      <c r="G206" t="inlineStr">
        <is>
          <t>FALKENBERG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46230</v>
      </c>
      <c r="F207" t="inlineStr">
        <is>
          <t>HALLANDS LÄN</t>
        </is>
      </c>
      <c r="G207" t="inlineStr">
        <is>
          <t>FALKENBERG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45387</v>
      </c>
      <c r="E208" s="1" t="n">
        <v>46230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46230</v>
      </c>
      <c r="F209" t="inlineStr">
        <is>
          <t>HALLANDS LÄN</t>
        </is>
      </c>
      <c r="G209" t="inlineStr">
        <is>
          <t>FALKENBERG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46230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46230</v>
      </c>
      <c r="F211" t="inlineStr">
        <is>
          <t>HALLANDS LÄN</t>
        </is>
      </c>
      <c r="G211" t="inlineStr">
        <is>
          <t>FALKENBERG</t>
        </is>
      </c>
      <c r="I211" t="n">
        <v>13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46230</v>
      </c>
      <c r="F212" t="inlineStr">
        <is>
          <t>HALLANDS LÄN</t>
        </is>
      </c>
      <c r="G212" t="inlineStr">
        <is>
          <t>FALKENBERG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44866</v>
      </c>
      <c r="E213" s="1" t="n">
        <v>46230</v>
      </c>
      <c r="F213" t="inlineStr">
        <is>
          <t>HALLANDS LÄN</t>
        </is>
      </c>
      <c r="G213" t="inlineStr">
        <is>
          <t>FALKENBERG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46230</v>
      </c>
      <c r="F214" t="inlineStr">
        <is>
          <t>HALLANDS LÄN</t>
        </is>
      </c>
      <c r="G214" t="inlineStr">
        <is>
          <t>FALKENBERG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46230</v>
      </c>
      <c r="F215" t="inlineStr">
        <is>
          <t>HALLANDS LÄN</t>
        </is>
      </c>
      <c r="G215" t="inlineStr">
        <is>
          <t>FALKENBERG</t>
        </is>
      </c>
      <c r="H215" t="inlineStr">
        <is>
          <t>Bergvik skog väst AB</t>
        </is>
      </c>
      <c r="I215" t="n">
        <v>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46230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66747-2021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46230</v>
      </c>
      <c r="F217" t="inlineStr">
        <is>
          <t>HALLANDS LÄN</t>
        </is>
      </c>
      <c r="G217" t="inlineStr">
        <is>
          <t>FALKENBERG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46230</v>
      </c>
      <c r="F218" t="inlineStr">
        <is>
          <t>HALLANDS LÄN</t>
        </is>
      </c>
      <c r="G218" t="inlineStr">
        <is>
          <t>FALKENBERG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46230</v>
      </c>
      <c r="F219" t="inlineStr">
        <is>
          <t>HALLANDS LÄN</t>
        </is>
      </c>
      <c r="G219" t="inlineStr">
        <is>
          <t>FALKENBERG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45248</v>
      </c>
      <c r="E220" s="1" t="n">
        <v>46230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45249</v>
      </c>
      <c r="E221" s="1" t="n">
        <v>46230</v>
      </c>
      <c r="F221" t="inlineStr">
        <is>
          <t>HALLANDS LÄN</t>
        </is>
      </c>
      <c r="G221" t="inlineStr">
        <is>
          <t>FALKENBERG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45270</v>
      </c>
      <c r="E222" s="1" t="n">
        <v>46230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46230</v>
      </c>
      <c r="F223" t="inlineStr">
        <is>
          <t>HALLANDS LÄN</t>
        </is>
      </c>
      <c r="G223" t="inlineStr">
        <is>
          <t>FALKENBERG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45422</v>
      </c>
      <c r="E224" s="1" t="n">
        <v>46230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46230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46230</v>
      </c>
      <c r="F226" t="inlineStr">
        <is>
          <t>HALLANDS LÄN</t>
        </is>
      </c>
      <c r="G226" t="inlineStr">
        <is>
          <t>FALKENBERG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46230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45249</v>
      </c>
      <c r="E228" s="1" t="n">
        <v>46230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46230</v>
      </c>
      <c r="F229" t="inlineStr">
        <is>
          <t>HALLANDS LÄN</t>
        </is>
      </c>
      <c r="G229" t="inlineStr">
        <is>
          <t>FALKENBERG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46230</v>
      </c>
      <c r="F230" t="inlineStr">
        <is>
          <t>HALLANDS LÄN</t>
        </is>
      </c>
      <c r="G230" t="inlineStr">
        <is>
          <t>FALKENBERG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46230</v>
      </c>
      <c r="F231" t="inlineStr">
        <is>
          <t>HALLANDS LÄN</t>
        </is>
      </c>
      <c r="G231" t="inlineStr">
        <is>
          <t>FALKENBERG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46230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45305</v>
      </c>
      <c r="E233" s="1" t="n">
        <v>46230</v>
      </c>
      <c r="F233" t="inlineStr">
        <is>
          <t>HALLANDS LÄN</t>
        </is>
      </c>
      <c r="G233" t="inlineStr">
        <is>
          <t>FALKENBERG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46230</v>
      </c>
      <c r="F234" t="inlineStr">
        <is>
          <t>HALLANDS LÄN</t>
        </is>
      </c>
      <c r="G234" t="inlineStr">
        <is>
          <t>FALKENBERG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46230</v>
      </c>
      <c r="F235" t="inlineStr">
        <is>
          <t>HALLANDS LÄN</t>
        </is>
      </c>
      <c r="G235" t="inlineStr">
        <is>
          <t>FALKENBERG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46230</v>
      </c>
      <c r="F236" t="inlineStr">
        <is>
          <t>HALLANDS LÄN</t>
        </is>
      </c>
      <c r="G236" t="inlineStr">
        <is>
          <t>FALKENBERG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46230</v>
      </c>
      <c r="F237" t="inlineStr">
        <is>
          <t>HALLANDS LÄN</t>
        </is>
      </c>
      <c r="G237" t="inlineStr">
        <is>
          <t>FALKENBERG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46230</v>
      </c>
      <c r="F238" t="inlineStr">
        <is>
          <t>HALLANDS LÄN</t>
        </is>
      </c>
      <c r="G238" t="inlineStr">
        <is>
          <t>FALKENBERG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46230</v>
      </c>
      <c r="F239" t="inlineStr">
        <is>
          <t>HALLANDS LÄN</t>
        </is>
      </c>
      <c r="G239" t="inlineStr">
        <is>
          <t>FALKENBERG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46230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46230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46230</v>
      </c>
      <c r="F242" t="inlineStr">
        <is>
          <t>HALLANDS LÄN</t>
        </is>
      </c>
      <c r="G242" t="inlineStr">
        <is>
          <t>FALKENBERG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46230</v>
      </c>
      <c r="F243" t="inlineStr">
        <is>
          <t>HALLANDS LÄN</t>
        </is>
      </c>
      <c r="G243" t="inlineStr">
        <is>
          <t>FALKENBERG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46230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46230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46230</v>
      </c>
      <c r="F246" t="inlineStr">
        <is>
          <t>HALLANDS LÄN</t>
        </is>
      </c>
      <c r="G246" t="inlineStr">
        <is>
          <t>FALKENBERG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46230</v>
      </c>
      <c r="F247" t="inlineStr">
        <is>
          <t>HALLANDS LÄN</t>
        </is>
      </c>
      <c r="G247" t="inlineStr">
        <is>
          <t>FALKENBERG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46230</v>
      </c>
      <c r="F248" t="inlineStr">
        <is>
          <t>HALLANDS LÄN</t>
        </is>
      </c>
      <c r="G248" t="inlineStr">
        <is>
          <t>FALKENBERG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46230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46230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46230</v>
      </c>
      <c r="F251" t="inlineStr">
        <is>
          <t>HALLANDS LÄN</t>
        </is>
      </c>
      <c r="G251" t="inlineStr">
        <is>
          <t>FALKENBERG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46230</v>
      </c>
      <c r="F252" t="inlineStr">
        <is>
          <t>HALLANDS LÄN</t>
        </is>
      </c>
      <c r="G252" t="inlineStr">
        <is>
          <t>FALKENBERG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46230</v>
      </c>
      <c r="F253" t="inlineStr">
        <is>
          <t>HALLANDS LÄN</t>
        </is>
      </c>
      <c r="G253" t="inlineStr">
        <is>
          <t>FALKENBERG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60909-2022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44908</v>
      </c>
      <c r="E254" s="1" t="n">
        <v>46230</v>
      </c>
      <c r="F254" t="inlineStr">
        <is>
          <t>HALLANDS LÄN</t>
        </is>
      </c>
      <c r="G254" t="inlineStr">
        <is>
          <t>FALKENBERG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44642</v>
      </c>
      <c r="E255" s="1" t="n">
        <v>46230</v>
      </c>
      <c r="F255" t="inlineStr">
        <is>
          <t>HALLANDS LÄN</t>
        </is>
      </c>
      <c r="G255" t="inlineStr">
        <is>
          <t>FALKENBERG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18710-2022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44687</v>
      </c>
      <c r="E256" s="1" t="n">
        <v>46230</v>
      </c>
      <c r="F256" t="inlineStr">
        <is>
          <t>HALLANDS LÄN</t>
        </is>
      </c>
      <c r="G256" t="inlineStr">
        <is>
          <t>FALKENBERG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46230</v>
      </c>
      <c r="F257" t="inlineStr">
        <is>
          <t>HALLANDS LÄN</t>
        </is>
      </c>
      <c r="G257" t="inlineStr">
        <is>
          <t>FALKENBERG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46230</v>
      </c>
      <c r="F258" t="inlineStr">
        <is>
          <t>HALLANDS LÄN</t>
        </is>
      </c>
      <c r="G258" t="inlineStr">
        <is>
          <t>FALKENBERG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46230</v>
      </c>
      <c r="F259" t="inlineStr">
        <is>
          <t>HALLANDS LÄN</t>
        </is>
      </c>
      <c r="G259" t="inlineStr">
        <is>
          <t>FALKENBERG</t>
        </is>
      </c>
      <c r="H259" t="inlineStr">
        <is>
          <t>Kommuner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46230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46230</v>
      </c>
      <c r="F261" t="inlineStr">
        <is>
          <t>HALLANDS LÄN</t>
        </is>
      </c>
      <c r="G261" t="inlineStr">
        <is>
          <t>FALKENBERG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44644</v>
      </c>
      <c r="E262" s="1" t="n">
        <v>46230</v>
      </c>
      <c r="F262" t="inlineStr">
        <is>
          <t>HALLANDS LÄN</t>
        </is>
      </c>
      <c r="G262" t="inlineStr">
        <is>
          <t>FALKENBERG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45908</v>
      </c>
      <c r="E263" s="1" t="n">
        <v>46230</v>
      </c>
      <c r="F263" t="inlineStr">
        <is>
          <t>HALLANDS LÄN</t>
        </is>
      </c>
      <c r="G263" t="inlineStr">
        <is>
          <t>FALKENBERG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45842</v>
      </c>
      <c r="E264" s="1" t="n">
        <v>46230</v>
      </c>
      <c r="F264" t="inlineStr">
        <is>
          <t>HALLANDS LÄN</t>
        </is>
      </c>
      <c r="G264" t="inlineStr">
        <is>
          <t>FALKENBERG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45552</v>
      </c>
      <c r="E265" s="1" t="n">
        <v>46230</v>
      </c>
      <c r="F265" t="inlineStr">
        <is>
          <t>HALLANDS LÄN</t>
        </is>
      </c>
      <c r="G265" t="inlineStr">
        <is>
          <t>FALKENBERG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46230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46230</v>
      </c>
      <c r="F267" t="inlineStr">
        <is>
          <t>HALLANDS LÄN</t>
        </is>
      </c>
      <c r="G267" t="inlineStr">
        <is>
          <t>FALKENBERG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46230</v>
      </c>
      <c r="F268" t="inlineStr">
        <is>
          <t>HALLANDS LÄN</t>
        </is>
      </c>
      <c r="G268" t="inlineStr">
        <is>
          <t>FALKENBERG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45566</v>
      </c>
      <c r="E269" s="1" t="n">
        <v>46230</v>
      </c>
      <c r="F269" t="inlineStr">
        <is>
          <t>HALLANDS LÄN</t>
        </is>
      </c>
      <c r="G269" t="inlineStr">
        <is>
          <t>FALKENBERG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46230</v>
      </c>
      <c r="F270" t="inlineStr">
        <is>
          <t>HALLANDS LÄN</t>
        </is>
      </c>
      <c r="G270" t="inlineStr">
        <is>
          <t>FALKENBERG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46230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46230</v>
      </c>
      <c r="F272" t="inlineStr">
        <is>
          <t>HALLANDS LÄN</t>
        </is>
      </c>
      <c r="G272" t="inlineStr">
        <is>
          <t>FALKENBERG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44631</v>
      </c>
      <c r="E273" s="1" t="n">
        <v>46230</v>
      </c>
      <c r="F273" t="inlineStr">
        <is>
          <t>HALLANDS LÄN</t>
        </is>
      </c>
      <c r="G273" t="inlineStr">
        <is>
          <t>FALKENBERG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46230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44584</v>
      </c>
      <c r="E275" s="1" t="n">
        <v>46230</v>
      </c>
      <c r="F275" t="inlineStr">
        <is>
          <t>HALLANDS LÄN</t>
        </is>
      </c>
      <c r="G275" t="inlineStr">
        <is>
          <t>FALKENBERG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46230</v>
      </c>
      <c r="F276" t="inlineStr">
        <is>
          <t>HALLANDS LÄN</t>
        </is>
      </c>
      <c r="G276" t="inlineStr">
        <is>
          <t>FALKENBERG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46230</v>
      </c>
      <c r="F277" t="inlineStr">
        <is>
          <t>HALLANDS LÄN</t>
        </is>
      </c>
      <c r="G277" t="inlineStr">
        <is>
          <t>FALKENBERG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46230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46230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46230</v>
      </c>
      <c r="F280" t="inlineStr">
        <is>
          <t>HALLANDS LÄN</t>
        </is>
      </c>
      <c r="G280" t="inlineStr">
        <is>
          <t>FALKENBERG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46230</v>
      </c>
      <c r="F281" t="inlineStr">
        <is>
          <t>HALLANDS LÄN</t>
        </is>
      </c>
      <c r="G281" t="inlineStr">
        <is>
          <t>FALKENBERG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46230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46230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46230</v>
      </c>
      <c r="F284" t="inlineStr">
        <is>
          <t>HALLANDS LÄN</t>
        </is>
      </c>
      <c r="G284" t="inlineStr">
        <is>
          <t>FALKENBERG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46230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46230</v>
      </c>
      <c r="F286" t="inlineStr">
        <is>
          <t>HALLANDS LÄN</t>
        </is>
      </c>
      <c r="G286" t="inlineStr">
        <is>
          <t>FALKENBERG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46230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38462-2024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45546</v>
      </c>
      <c r="E288" s="1" t="n">
        <v>46230</v>
      </c>
      <c r="F288" t="inlineStr">
        <is>
          <t>HALLANDS LÄN</t>
        </is>
      </c>
      <c r="G288" t="inlineStr">
        <is>
          <t>FALKENBERG</t>
        </is>
      </c>
      <c r="H288" t="inlineStr">
        <is>
          <t>Kyrkan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46230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45390</v>
      </c>
      <c r="E290" s="1" t="n">
        <v>46230</v>
      </c>
      <c r="F290" t="inlineStr">
        <is>
          <t>HALLANDS LÄN</t>
        </is>
      </c>
      <c r="G290" t="inlineStr">
        <is>
          <t>FALKENBERG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45811</v>
      </c>
      <c r="E291" s="1" t="n">
        <v>46230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46230</v>
      </c>
      <c r="F292" t="inlineStr">
        <is>
          <t>HALLANDS LÄN</t>
        </is>
      </c>
      <c r="G292" t="inlineStr">
        <is>
          <t>FALKENBERG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46230</v>
      </c>
      <c r="F293" t="inlineStr">
        <is>
          <t>HALLANDS LÄN</t>
        </is>
      </c>
      <c r="G293" t="inlineStr">
        <is>
          <t>FALKENBERG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46230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46230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46230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46230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45091</v>
      </c>
      <c r="E298" s="1" t="n">
        <v>46230</v>
      </c>
      <c r="F298" t="inlineStr">
        <is>
          <t>HALLANDS LÄN</t>
        </is>
      </c>
      <c r="G298" t="inlineStr">
        <is>
          <t>FALKENBERG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44977</v>
      </c>
      <c r="E299" s="1" t="n">
        <v>46230</v>
      </c>
      <c r="F299" t="inlineStr">
        <is>
          <t>HALLANDS LÄN</t>
        </is>
      </c>
      <c r="G299" t="inlineStr">
        <is>
          <t>FALKENBERG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46230</v>
      </c>
      <c r="F300" t="inlineStr">
        <is>
          <t>HALLANDS LÄN</t>
        </is>
      </c>
      <c r="G300" t="inlineStr">
        <is>
          <t>FALKENBERG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46230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46230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46230</v>
      </c>
      <c r="F303" t="inlineStr">
        <is>
          <t>HALLANDS LÄN</t>
        </is>
      </c>
      <c r="G303" t="inlineStr">
        <is>
          <t>FALKENBERG</t>
        </is>
      </c>
      <c r="H303" t="inlineStr">
        <is>
          <t>Kyrkan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46230</v>
      </c>
      <c r="F304" t="inlineStr">
        <is>
          <t>HALLANDS LÄN</t>
        </is>
      </c>
      <c r="G304" t="inlineStr">
        <is>
          <t>FALKENBERG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46230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46230</v>
      </c>
      <c r="F306" t="inlineStr">
        <is>
          <t>HALLANDS LÄN</t>
        </is>
      </c>
      <c r="G306" t="inlineStr">
        <is>
          <t>FALKENBERG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46230</v>
      </c>
      <c r="F307" t="inlineStr">
        <is>
          <t>HALLANDS LÄN</t>
        </is>
      </c>
      <c r="G307" t="inlineStr">
        <is>
          <t>FALKENBERG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45946</v>
      </c>
      <c r="E308" s="1" t="n">
        <v>46230</v>
      </c>
      <c r="F308" t="inlineStr">
        <is>
          <t>HALLANDS LÄN</t>
        </is>
      </c>
      <c r="G308" t="inlineStr">
        <is>
          <t>FALKENBERG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20912-2026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46142</v>
      </c>
      <c r="E309" s="1" t="n">
        <v>46230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46230</v>
      </c>
      <c r="F310" t="inlineStr">
        <is>
          <t>HALLANDS LÄN</t>
        </is>
      </c>
      <c r="G310" t="inlineStr">
        <is>
          <t>FALKENBERG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45751</v>
      </c>
      <c r="E311" s="1" t="n">
        <v>46230</v>
      </c>
      <c r="F311" t="inlineStr">
        <is>
          <t>HALLANDS LÄN</t>
        </is>
      </c>
      <c r="G311" t="inlineStr">
        <is>
          <t>FALKENBERG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21008-2026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46142</v>
      </c>
      <c r="E312" s="1" t="n">
        <v>46230</v>
      </c>
      <c r="F312" t="inlineStr">
        <is>
          <t>HALLANDS LÄN</t>
        </is>
      </c>
      <c r="G312" t="inlineStr">
        <is>
          <t>FALKENBERG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46230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46230</v>
      </c>
      <c r="F314" t="inlineStr">
        <is>
          <t>HALLANDS LÄN</t>
        </is>
      </c>
      <c r="G314" t="inlineStr">
        <is>
          <t>FALKENBERG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46230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46230</v>
      </c>
      <c r="F316" t="inlineStr">
        <is>
          <t>HALLANDS LÄN</t>
        </is>
      </c>
      <c r="G316" t="inlineStr">
        <is>
          <t>FALKENBERG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44963</v>
      </c>
      <c r="E317" s="1" t="n">
        <v>46230</v>
      </c>
      <c r="F317" t="inlineStr">
        <is>
          <t>HALLANDS LÄN</t>
        </is>
      </c>
      <c r="G317" t="inlineStr">
        <is>
          <t>FALKENBERG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46230</v>
      </c>
      <c r="F318" t="inlineStr">
        <is>
          <t>HALLANDS LÄN</t>
        </is>
      </c>
      <c r="G318" t="inlineStr">
        <is>
          <t>FALKENBERG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46230</v>
      </c>
      <c r="F319" t="inlineStr">
        <is>
          <t>HALLANDS LÄN</t>
        </is>
      </c>
      <c r="G319" t="inlineStr">
        <is>
          <t>FALKENBERG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45953</v>
      </c>
      <c r="E320" s="1" t="n">
        <v>46230</v>
      </c>
      <c r="F320" t="inlineStr">
        <is>
          <t>HALLANDS LÄN</t>
        </is>
      </c>
      <c r="G320" t="inlineStr">
        <is>
          <t>FALKENBERG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46230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46230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46230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46230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45959</v>
      </c>
      <c r="E325" s="1" t="n">
        <v>46230</v>
      </c>
      <c r="F325" t="inlineStr">
        <is>
          <t>HALLANDS LÄN</t>
        </is>
      </c>
      <c r="G325" t="inlineStr">
        <is>
          <t>FALKENBERG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46230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46230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46230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46230</v>
      </c>
      <c r="F329" t="inlineStr">
        <is>
          <t>HALLANDS LÄN</t>
        </is>
      </c>
      <c r="G329" t="inlineStr">
        <is>
          <t>FALKENBERG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46230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45950</v>
      </c>
      <c r="E331" s="1" t="n">
        <v>46230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46230</v>
      </c>
      <c r="F332" t="inlineStr">
        <is>
          <t>HALLANDS LÄN</t>
        </is>
      </c>
      <c r="G332" t="inlineStr">
        <is>
          <t>FALKENBERG</t>
        </is>
      </c>
      <c r="H332" t="inlineStr">
        <is>
          <t>Kyrkan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46230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45618</v>
      </c>
      <c r="E334" s="1" t="n">
        <v>46230</v>
      </c>
      <c r="F334" t="inlineStr">
        <is>
          <t>HALLANDS LÄN</t>
        </is>
      </c>
      <c r="G334" t="inlineStr">
        <is>
          <t>FALKENBERG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46230</v>
      </c>
      <c r="F335" t="inlineStr">
        <is>
          <t>HALLANDS LÄN</t>
        </is>
      </c>
      <c r="G335" t="inlineStr">
        <is>
          <t>FALKENBERG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46230</v>
      </c>
      <c r="F336" t="inlineStr">
        <is>
          <t>HALLANDS LÄN</t>
        </is>
      </c>
      <c r="G336" t="inlineStr">
        <is>
          <t>FALKENBERG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46230</v>
      </c>
      <c r="F337" t="inlineStr">
        <is>
          <t>HALLANDS LÄN</t>
        </is>
      </c>
      <c r="G337" t="inlineStr">
        <is>
          <t>FALKENBERG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46230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46230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53801-2025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45960</v>
      </c>
      <c r="E340" s="1" t="n">
        <v>46230</v>
      </c>
      <c r="F340" t="inlineStr">
        <is>
          <t>HALLANDS LÄN</t>
        </is>
      </c>
      <c r="G340" t="inlineStr">
        <is>
          <t>FALKENBERG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46230</v>
      </c>
      <c r="F341" t="inlineStr">
        <is>
          <t>HALLANDS LÄN</t>
        </is>
      </c>
      <c r="G341" t="inlineStr">
        <is>
          <t>FALKENBERG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46230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46230</v>
      </c>
      <c r="F343" t="inlineStr">
        <is>
          <t>HALLANDS LÄN</t>
        </is>
      </c>
      <c r="G343" t="inlineStr">
        <is>
          <t>FALKENBERG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54439-2025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46230</v>
      </c>
      <c r="F344" t="inlineStr">
        <is>
          <t>HALLANDS LÄN</t>
        </is>
      </c>
      <c r="G344" t="inlineStr">
        <is>
          <t>FALKENBERG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46230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46230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46230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45667</v>
      </c>
      <c r="E348" s="1" t="n">
        <v>46230</v>
      </c>
      <c r="F348" t="inlineStr">
        <is>
          <t>HALLANDS LÄN</t>
        </is>
      </c>
      <c r="G348" t="inlineStr">
        <is>
          <t>FALKENBERG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44986</v>
      </c>
      <c r="E349" s="1" t="n">
        <v>46230</v>
      </c>
      <c r="F349" t="inlineStr">
        <is>
          <t>HALLANDS LÄN</t>
        </is>
      </c>
      <c r="G349" t="inlineStr">
        <is>
          <t>FALKENBERG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46230</v>
      </c>
      <c r="F350" t="inlineStr">
        <is>
          <t>HALLANDS LÄN</t>
        </is>
      </c>
      <c r="G350" t="inlineStr">
        <is>
          <t>FALKENBERG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46230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46230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46230</v>
      </c>
      <c r="F353" t="inlineStr">
        <is>
          <t>HALLANDS LÄN</t>
        </is>
      </c>
      <c r="G353" t="inlineStr">
        <is>
          <t>FALKENBERG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45838-2024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46230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46230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46230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55539-2025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46230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46230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55141-2025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45968</v>
      </c>
      <c r="E359" s="1" t="n">
        <v>46230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45539</v>
      </c>
      <c r="E360" s="1" t="n">
        <v>46230</v>
      </c>
      <c r="F360" t="inlineStr">
        <is>
          <t>HALLANDS LÄN</t>
        </is>
      </c>
      <c r="G360" t="inlineStr">
        <is>
          <t>FALKENBERG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46230</v>
      </c>
      <c r="F361" t="inlineStr">
        <is>
          <t>HALLANDS LÄN</t>
        </is>
      </c>
      <c r="G361" t="inlineStr">
        <is>
          <t>FALKENBERG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46230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46230</v>
      </c>
      <c r="F363" t="inlineStr">
        <is>
          <t>HALLANDS LÄN</t>
        </is>
      </c>
      <c r="G363" t="inlineStr">
        <is>
          <t>FALKENBERG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46230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46230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71844-2021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46230</v>
      </c>
      <c r="F366" t="inlineStr">
        <is>
          <t>HALLANDS LÄN</t>
        </is>
      </c>
      <c r="G366" t="inlineStr">
        <is>
          <t>FALKENBERG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46230</v>
      </c>
      <c r="F367" t="inlineStr">
        <is>
          <t>HALLANDS LÄN</t>
        </is>
      </c>
      <c r="G367" t="inlineStr">
        <is>
          <t>FALKENBERG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46230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46230</v>
      </c>
      <c r="F369" t="inlineStr">
        <is>
          <t>HALLANDS LÄN</t>
        </is>
      </c>
      <c r="G369" t="inlineStr">
        <is>
          <t>FALKENBERG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46230</v>
      </c>
      <c r="F370" t="inlineStr">
        <is>
          <t>HALLANDS LÄN</t>
        </is>
      </c>
      <c r="G370" t="inlineStr">
        <is>
          <t>FALKENBERG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45037</v>
      </c>
      <c r="E371" s="1" t="n">
        <v>46230</v>
      </c>
      <c r="F371" t="inlineStr">
        <is>
          <t>HALLANDS LÄN</t>
        </is>
      </c>
      <c r="G371" t="inlineStr">
        <is>
          <t>FALKENBERG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46230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44622</v>
      </c>
      <c r="E373" s="1" t="n">
        <v>46230</v>
      </c>
      <c r="F373" t="inlineStr">
        <is>
          <t>HALLANDS LÄN</t>
        </is>
      </c>
      <c r="G373" t="inlineStr">
        <is>
          <t>FALKENBERG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44622</v>
      </c>
      <c r="E374" s="1" t="n">
        <v>46230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45350</v>
      </c>
      <c r="E375" s="1" t="n">
        <v>46230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46230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46230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46230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46230</v>
      </c>
      <c r="F379" t="inlineStr">
        <is>
          <t>HALLANDS LÄN</t>
        </is>
      </c>
      <c r="G379" t="inlineStr">
        <is>
          <t>FALKENBERG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73973-2021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44554</v>
      </c>
      <c r="E380" s="1" t="n">
        <v>46230</v>
      </c>
      <c r="F380" t="inlineStr">
        <is>
          <t>HALLANDS LÄN</t>
        </is>
      </c>
      <c r="G380" t="inlineStr">
        <is>
          <t>FALKENBERG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45616</v>
      </c>
      <c r="E381" s="1" t="n">
        <v>46230</v>
      </c>
      <c r="F381" t="inlineStr">
        <is>
          <t>HALLANDS LÄN</t>
        </is>
      </c>
      <c r="G381" t="inlineStr">
        <is>
          <t>FALKENBERG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46230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45644</v>
      </c>
      <c r="E383" s="1" t="n">
        <v>46230</v>
      </c>
      <c r="F383" t="inlineStr">
        <is>
          <t>HALLANDS LÄN</t>
        </is>
      </c>
      <c r="G383" t="inlineStr">
        <is>
          <t>FALKENBERG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54698-2024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46230</v>
      </c>
      <c r="F384" t="inlineStr">
        <is>
          <t>HALLANDS LÄN</t>
        </is>
      </c>
      <c r="G384" t="inlineStr">
        <is>
          <t>FALKENBERG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46230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45300</v>
      </c>
      <c r="E386" s="1" t="n">
        <v>46230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46230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46230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46230</v>
      </c>
      <c r="F389" t="inlineStr">
        <is>
          <t>HALLANDS LÄN</t>
        </is>
      </c>
      <c r="G389" t="inlineStr">
        <is>
          <t>FALKENBERG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45959</v>
      </c>
      <c r="E390" s="1" t="n">
        <v>46230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46230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46230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46230</v>
      </c>
      <c r="F393" t="inlineStr">
        <is>
          <t>HALLANDS LÄN</t>
        </is>
      </c>
      <c r="G393" t="inlineStr">
        <is>
          <t>FALKENBERG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53411-2025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45959</v>
      </c>
      <c r="E394" s="1" t="n">
        <v>46230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46230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45635</v>
      </c>
      <c r="E396" s="1" t="n">
        <v>46230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46230</v>
      </c>
      <c r="F397" t="inlineStr">
        <is>
          <t>HALLANDS LÄN</t>
        </is>
      </c>
      <c r="G397" t="inlineStr">
        <is>
          <t>FALKENBERG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46004</v>
      </c>
      <c r="E398" s="1" t="n">
        <v>46230</v>
      </c>
      <c r="F398" t="inlineStr">
        <is>
          <t>HALLANDS LÄN</t>
        </is>
      </c>
      <c r="G398" t="inlineStr">
        <is>
          <t>FALKENBERG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46230</v>
      </c>
      <c r="F399" t="inlineStr">
        <is>
          <t>HALLANDS LÄN</t>
        </is>
      </c>
      <c r="G399" t="inlineStr">
        <is>
          <t>FALKENBERG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46230</v>
      </c>
      <c r="F400" t="inlineStr">
        <is>
          <t>HALLANDS LÄN</t>
        </is>
      </c>
      <c r="G400" t="inlineStr">
        <is>
          <t>FALKENBERG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44610</v>
      </c>
      <c r="E401" s="1" t="n">
        <v>46230</v>
      </c>
      <c r="F401" t="inlineStr">
        <is>
          <t>HALLANDS LÄN</t>
        </is>
      </c>
      <c r="G401" t="inlineStr">
        <is>
          <t>FALKENBERG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46230</v>
      </c>
      <c r="F402" t="inlineStr">
        <is>
          <t>HALLANDS LÄN</t>
        </is>
      </c>
      <c r="G402" t="inlineStr">
        <is>
          <t>FALKENBERG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44740</v>
      </c>
      <c r="E403" s="1" t="n">
        <v>46230</v>
      </c>
      <c r="F403" t="inlineStr">
        <is>
          <t>HALLANDS LÄN</t>
        </is>
      </c>
      <c r="G403" t="inlineStr">
        <is>
          <t>FALKENBERG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46230</v>
      </c>
      <c r="F404" t="inlineStr">
        <is>
          <t>HALLANDS LÄN</t>
        </is>
      </c>
      <c r="G404" t="inlineStr">
        <is>
          <t>FALKENBERG</t>
        </is>
      </c>
      <c r="H404" t="inlineStr">
        <is>
          <t>Kommuner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46230</v>
      </c>
      <c r="F405" t="inlineStr">
        <is>
          <t>HALLANDS LÄN</t>
        </is>
      </c>
      <c r="G405" t="inlineStr">
        <is>
          <t>FALKENBERG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45048</v>
      </c>
      <c r="E406" s="1" t="n">
        <v>46230</v>
      </c>
      <c r="F406" t="inlineStr">
        <is>
          <t>HALLANDS LÄN</t>
        </is>
      </c>
      <c r="G406" t="inlineStr">
        <is>
          <t>FALKENBERG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46230</v>
      </c>
      <c r="F407" t="inlineStr">
        <is>
          <t>HALLANDS LÄN</t>
        </is>
      </c>
      <c r="G407" t="inlineStr">
        <is>
          <t>FALKENBERG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46230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46230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46230</v>
      </c>
      <c r="F410" t="inlineStr">
        <is>
          <t>HALLANDS LÄN</t>
        </is>
      </c>
      <c r="G410" t="inlineStr">
        <is>
          <t>FALKENBERG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41526-2022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44827</v>
      </c>
      <c r="E411" s="1" t="n">
        <v>46230</v>
      </c>
      <c r="F411" t="inlineStr">
        <is>
          <t>HALLANDS LÄN</t>
        </is>
      </c>
      <c r="G411" t="inlineStr">
        <is>
          <t>FALKENBERG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42319-2022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46230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45138</v>
      </c>
      <c r="E413" s="1" t="n">
        <v>46230</v>
      </c>
      <c r="F413" t="inlineStr">
        <is>
          <t>HALLANDS LÄN</t>
        </is>
      </c>
      <c r="G413" t="inlineStr">
        <is>
          <t>FALKENBERG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45326</v>
      </c>
      <c r="E414" s="1" t="n">
        <v>46230</v>
      </c>
      <c r="F414" t="inlineStr">
        <is>
          <t>HALLANDS LÄN</t>
        </is>
      </c>
      <c r="G414" t="inlineStr">
        <is>
          <t>FALKENBERG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45482</v>
      </c>
      <c r="E415" s="1" t="n">
        <v>46230</v>
      </c>
      <c r="F415" t="inlineStr">
        <is>
          <t>HALLANDS LÄN</t>
        </is>
      </c>
      <c r="G415" t="inlineStr">
        <is>
          <t>FALKENBERG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46230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46230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70848-2021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46230</v>
      </c>
      <c r="F418" t="inlineStr">
        <is>
          <t>HALLANDS LÄN</t>
        </is>
      </c>
      <c r="G418" t="inlineStr">
        <is>
          <t>FALKENBERG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46230</v>
      </c>
      <c r="F419" t="inlineStr">
        <is>
          <t>HALLANDS LÄN</t>
        </is>
      </c>
      <c r="G419" t="inlineStr">
        <is>
          <t>FALKENBERG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46230</v>
      </c>
      <c r="F420" t="inlineStr">
        <is>
          <t>HALLANDS LÄN</t>
        </is>
      </c>
      <c r="G420" t="inlineStr">
        <is>
          <t>FALKENBERG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44740</v>
      </c>
      <c r="E421" s="1" t="n">
        <v>46230</v>
      </c>
      <c r="F421" t="inlineStr">
        <is>
          <t>HALLANDS LÄN</t>
        </is>
      </c>
      <c r="G421" t="inlineStr">
        <is>
          <t>FALKENBERG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45667</v>
      </c>
      <c r="E422" s="1" t="n">
        <v>46230</v>
      </c>
      <c r="F422" t="inlineStr">
        <is>
          <t>HALLANDS LÄN</t>
        </is>
      </c>
      <c r="G422" t="inlineStr">
        <is>
          <t>FALKENBERG</t>
        </is>
      </c>
      <c r="H422" t="inlineStr">
        <is>
          <t>Kyrkan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46230</v>
      </c>
      <c r="F423" t="inlineStr">
        <is>
          <t>HALLANDS LÄN</t>
        </is>
      </c>
      <c r="G423" t="inlineStr">
        <is>
          <t>FALKENBERG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44652</v>
      </c>
      <c r="E424" s="1" t="n">
        <v>46230</v>
      </c>
      <c r="F424" t="inlineStr">
        <is>
          <t>HALLANDS LÄN</t>
        </is>
      </c>
      <c r="G424" t="inlineStr">
        <is>
          <t>FALKENBERG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46230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46230</v>
      </c>
      <c r="F426" t="inlineStr">
        <is>
          <t>HALLANDS LÄN</t>
        </is>
      </c>
      <c r="G426" t="inlineStr">
        <is>
          <t>FALKENBERG</t>
        </is>
      </c>
      <c r="H426" t="inlineStr">
        <is>
          <t>Naturvårdsverket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46230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46230</v>
      </c>
      <c r="F428" t="inlineStr">
        <is>
          <t>HALLANDS LÄN</t>
        </is>
      </c>
      <c r="G428" t="inlineStr">
        <is>
          <t>FALKENBERG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45741</v>
      </c>
      <c r="E429" s="1" t="n">
        <v>46230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46230</v>
      </c>
      <c r="F430" t="inlineStr">
        <is>
          <t>HALLANDS LÄN</t>
        </is>
      </c>
      <c r="G430" t="inlineStr">
        <is>
          <t>FALKENBERG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46230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46200</v>
      </c>
      <c r="E432" s="1" t="n">
        <v>46230</v>
      </c>
      <c r="F432" t="inlineStr">
        <is>
          <t>HALLANDS LÄN</t>
        </is>
      </c>
      <c r="G432" t="inlineStr">
        <is>
          <t>FALKENBERG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46230</v>
      </c>
      <c r="F433" t="inlineStr">
        <is>
          <t>HALLANDS LÄN</t>
        </is>
      </c>
      <c r="G433" t="inlineStr">
        <is>
          <t>FALKENBERG</t>
        </is>
      </c>
      <c r="H433" t="inlineStr">
        <is>
          <t>Bergvik skog väst AB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46230</v>
      </c>
      <c r="F434" t="inlineStr">
        <is>
          <t>HALLANDS LÄN</t>
        </is>
      </c>
      <c r="G434" t="inlineStr">
        <is>
          <t>FALKENBERG</t>
        </is>
      </c>
      <c r="H434" t="inlineStr">
        <is>
          <t>Bergvik skog väst AB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46230</v>
      </c>
      <c r="F435" t="inlineStr">
        <is>
          <t>HALLANDS LÄN</t>
        </is>
      </c>
      <c r="G435" t="inlineStr">
        <is>
          <t>FALKENBERG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46230</v>
      </c>
      <c r="F436" t="inlineStr">
        <is>
          <t>HALLANDS LÄN</t>
        </is>
      </c>
      <c r="G436" t="inlineStr">
        <is>
          <t>FALKENBERG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46230</v>
      </c>
      <c r="F437" t="inlineStr">
        <is>
          <t>HALLANDS LÄN</t>
        </is>
      </c>
      <c r="G437" t="inlineStr">
        <is>
          <t>FALKENBERG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46230</v>
      </c>
      <c r="F438" t="inlineStr">
        <is>
          <t>HALLANDS LÄN</t>
        </is>
      </c>
      <c r="G438" t="inlineStr">
        <is>
          <t>FALKENBERG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45601</v>
      </c>
      <c r="E439" s="1" t="n">
        <v>46230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46230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46230</v>
      </c>
      <c r="F441" t="inlineStr">
        <is>
          <t>HALLANDS LÄN</t>
        </is>
      </c>
      <c r="G441" t="inlineStr">
        <is>
          <t>FALKENBERG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46230</v>
      </c>
      <c r="F442" t="inlineStr">
        <is>
          <t>HALLANDS LÄN</t>
        </is>
      </c>
      <c r="G442" t="inlineStr">
        <is>
          <t>FALKENBERG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44986</v>
      </c>
      <c r="E443" s="1" t="n">
        <v>46230</v>
      </c>
      <c r="F443" t="inlineStr">
        <is>
          <t>HALLANDS LÄN</t>
        </is>
      </c>
      <c r="G443" t="inlineStr">
        <is>
          <t>FALKENBERG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46230</v>
      </c>
      <c r="F444" t="inlineStr">
        <is>
          <t>HALLANDS LÄN</t>
        </is>
      </c>
      <c r="G444" t="inlineStr">
        <is>
          <t>FALKENBERG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45714</v>
      </c>
      <c r="E445" s="1" t="n">
        <v>46230</v>
      </c>
      <c r="F445" t="inlineStr">
        <is>
          <t>HALLANDS LÄN</t>
        </is>
      </c>
      <c r="G445" t="inlineStr">
        <is>
          <t>FALKENBERG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13845-2024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45391</v>
      </c>
      <c r="E446" s="1" t="n">
        <v>46230</v>
      </c>
      <c r="F446" t="inlineStr">
        <is>
          <t>HALLANDS LÄN</t>
        </is>
      </c>
      <c r="G446" t="inlineStr">
        <is>
          <t>FALKENBERG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46230</v>
      </c>
      <c r="F447" t="inlineStr">
        <is>
          <t>HALLANDS LÄN</t>
        </is>
      </c>
      <c r="G447" t="inlineStr">
        <is>
          <t>FALKENBERG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46230</v>
      </c>
      <c r="F448" t="inlineStr">
        <is>
          <t>HALLANDS LÄN</t>
        </is>
      </c>
      <c r="G448" t="inlineStr">
        <is>
          <t>FALKENBERG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46230</v>
      </c>
      <c r="F449" t="inlineStr">
        <is>
          <t>HALLANDS LÄN</t>
        </is>
      </c>
      <c r="G449" t="inlineStr">
        <is>
          <t>FALKENBERG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46230</v>
      </c>
      <c r="F450" t="inlineStr">
        <is>
          <t>HALLANDS LÄN</t>
        </is>
      </c>
      <c r="G450" t="inlineStr">
        <is>
          <t>FALKENBERG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46230</v>
      </c>
      <c r="F451" t="inlineStr">
        <is>
          <t>HALLANDS LÄN</t>
        </is>
      </c>
      <c r="G451" t="inlineStr">
        <is>
          <t>FALKENBERG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46230</v>
      </c>
      <c r="F452" t="inlineStr">
        <is>
          <t>HALLANDS LÄN</t>
        </is>
      </c>
      <c r="G452" t="inlineStr">
        <is>
          <t>FALKENBERG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44133-2023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46230</v>
      </c>
      <c r="F453" t="inlineStr">
        <is>
          <t>HALLANDS LÄN</t>
        </is>
      </c>
      <c r="G453" t="inlineStr">
        <is>
          <t>FALKENBERG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45349</v>
      </c>
      <c r="E454" s="1" t="n">
        <v>46230</v>
      </c>
      <c r="F454" t="inlineStr">
        <is>
          <t>HALLANDS LÄN</t>
        </is>
      </c>
      <c r="G454" t="inlineStr">
        <is>
          <t>FALKENBERG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46230</v>
      </c>
      <c r="F455" t="inlineStr">
        <is>
          <t>HALLANDS LÄN</t>
        </is>
      </c>
      <c r="G455" t="inlineStr">
        <is>
          <t>FALKENBERG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45624</v>
      </c>
      <c r="E456" s="1" t="n">
        <v>46230</v>
      </c>
      <c r="F456" t="inlineStr">
        <is>
          <t>HALLANDS LÄN</t>
        </is>
      </c>
      <c r="G456" t="inlineStr">
        <is>
          <t>FALKENBERG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54606-2025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45966</v>
      </c>
      <c r="E457" s="1" t="n">
        <v>46230</v>
      </c>
      <c r="F457" t="inlineStr">
        <is>
          <t>HALLANDS LÄN</t>
        </is>
      </c>
      <c r="G457" t="inlineStr">
        <is>
          <t>FALKENBERG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46230</v>
      </c>
      <c r="F458" t="inlineStr">
        <is>
          <t>HALLANDS LÄN</t>
        </is>
      </c>
      <c r="G458" t="inlineStr">
        <is>
          <t>FALKENBERG</t>
        </is>
      </c>
      <c r="H458" t="inlineStr">
        <is>
          <t>Kyrkan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20543-2023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45055</v>
      </c>
      <c r="E459" s="1" t="n">
        <v>46230</v>
      </c>
      <c r="F459" t="inlineStr">
        <is>
          <t>HALLANDS LÄN</t>
        </is>
      </c>
      <c r="G459" t="inlineStr">
        <is>
          <t>FALKENBERG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20546-2023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45055</v>
      </c>
      <c r="E460" s="1" t="n">
        <v>46230</v>
      </c>
      <c r="F460" t="inlineStr">
        <is>
          <t>HALLANDS LÄN</t>
        </is>
      </c>
      <c r="G460" t="inlineStr">
        <is>
          <t>FALKENBERG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46230</v>
      </c>
      <c r="F461" t="inlineStr">
        <is>
          <t>HALLANDS LÄN</t>
        </is>
      </c>
      <c r="G461" t="inlineStr">
        <is>
          <t>FALKENBERG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44656</v>
      </c>
      <c r="E462" s="1" t="n">
        <v>46230</v>
      </c>
      <c r="F462" t="inlineStr">
        <is>
          <t>HALLANDS LÄN</t>
        </is>
      </c>
      <c r="G462" t="inlineStr">
        <is>
          <t>FALKENBERG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44664</v>
      </c>
      <c r="E463" s="1" t="n">
        <v>46230</v>
      </c>
      <c r="F463" t="inlineStr">
        <is>
          <t>HALLANDS LÄN</t>
        </is>
      </c>
      <c r="G463" t="inlineStr">
        <is>
          <t>FALKENBERG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46230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46230</v>
      </c>
      <c r="F465" t="inlineStr">
        <is>
          <t>HALLANDS LÄN</t>
        </is>
      </c>
      <c r="G465" t="inlineStr">
        <is>
          <t>FALKENBERG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8520-2026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46230</v>
      </c>
      <c r="F466" t="inlineStr">
        <is>
          <t>HALLANDS LÄN</t>
        </is>
      </c>
      <c r="G466" t="inlineStr">
        <is>
          <t>FALKENBERG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46164</v>
      </c>
      <c r="E467" s="1" t="n">
        <v>46230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46230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45274</v>
      </c>
      <c r="E469" s="1" t="n">
        <v>46230</v>
      </c>
      <c r="F469" t="inlineStr">
        <is>
          <t>HALLANDS LÄN</t>
        </is>
      </c>
      <c r="G469" t="inlineStr">
        <is>
          <t>FALKENBERG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46166</v>
      </c>
      <c r="E470" s="1" t="n">
        <v>46230</v>
      </c>
      <c r="F470" t="inlineStr">
        <is>
          <t>HALLANDS LÄN</t>
        </is>
      </c>
      <c r="G470" t="inlineStr">
        <is>
          <t>FALKENBERG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46230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46069</v>
      </c>
      <c r="E472" s="1" t="n">
        <v>46230</v>
      </c>
      <c r="F472" t="inlineStr">
        <is>
          <t>HALLANDS LÄN</t>
        </is>
      </c>
      <c r="G472" t="inlineStr">
        <is>
          <t>FALKENBERG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45914-2022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46230</v>
      </c>
      <c r="F473" t="inlineStr">
        <is>
          <t>HALLANDS LÄN</t>
        </is>
      </c>
      <c r="G473" t="inlineStr">
        <is>
          <t>FALKENBERG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46230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46230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45643</v>
      </c>
      <c r="E476" s="1" t="n">
        <v>46230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45345</v>
      </c>
      <c r="E477" s="1" t="n">
        <v>46230</v>
      </c>
      <c r="F477" t="inlineStr">
        <is>
          <t>HALLANDS LÄN</t>
        </is>
      </c>
      <c r="G477" t="inlineStr">
        <is>
          <t>FALKENBERG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46230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45119</v>
      </c>
      <c r="E479" s="1" t="n">
        <v>46230</v>
      </c>
      <c r="F479" t="inlineStr">
        <is>
          <t>HALLANDS LÄN</t>
        </is>
      </c>
      <c r="G479" t="inlineStr">
        <is>
          <t>FALKENBERG</t>
        </is>
      </c>
      <c r="I479" t="n">
        <v>10.8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46230</v>
      </c>
      <c r="F480" t="inlineStr">
        <is>
          <t>HALLANDS LÄN</t>
        </is>
      </c>
      <c r="G480" t="inlineStr">
        <is>
          <t>FALKENBERG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30715-2026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46211</v>
      </c>
      <c r="E481" s="1" t="n">
        <v>46230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46230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46077</v>
      </c>
      <c r="E483" s="1" t="n">
        <v>46230</v>
      </c>
      <c r="F483" t="inlineStr">
        <is>
          <t>HALLANDS LÄN</t>
        </is>
      </c>
      <c r="G483" t="inlineStr">
        <is>
          <t>FALKENBERG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46082</v>
      </c>
      <c r="E484" s="1" t="n">
        <v>46230</v>
      </c>
      <c r="F484" t="inlineStr">
        <is>
          <t>HALLANDS LÄN</t>
        </is>
      </c>
      <c r="G484" t="inlineStr">
        <is>
          <t>FALKENBERG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45923</v>
      </c>
      <c r="E485" s="1" t="n">
        <v>46230</v>
      </c>
      <c r="F485" t="inlineStr">
        <is>
          <t>HALLANDS LÄN</t>
        </is>
      </c>
      <c r="G485" t="inlineStr">
        <is>
          <t>FALKENBERG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46230</v>
      </c>
      <c r="F486" t="inlineStr">
        <is>
          <t>HALLANDS LÄN</t>
        </is>
      </c>
      <c r="G486" t="inlineStr">
        <is>
          <t>FALKENBERG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46082</v>
      </c>
      <c r="E487" s="1" t="n">
        <v>46230</v>
      </c>
      <c r="F487" t="inlineStr">
        <is>
          <t>HALLANDS LÄN</t>
        </is>
      </c>
      <c r="G487" t="inlineStr">
        <is>
          <t>FALKENBERG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46230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30790-2026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46212</v>
      </c>
      <c r="E489" s="1" t="n">
        <v>46230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46230</v>
      </c>
      <c r="F490" t="inlineStr">
        <is>
          <t>HALLANDS LÄN</t>
        </is>
      </c>
      <c r="G490" t="inlineStr">
        <is>
          <t>FALKENBERG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46230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46230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44946</v>
      </c>
      <c r="E493" s="1" t="n">
        <v>46230</v>
      </c>
      <c r="F493" t="inlineStr">
        <is>
          <t>HALLANDS LÄN</t>
        </is>
      </c>
      <c r="G493" t="inlineStr">
        <is>
          <t>FALKENBERG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46230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20694-2023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45058</v>
      </c>
      <c r="E495" s="1" t="n">
        <v>46230</v>
      </c>
      <c r="F495" t="inlineStr">
        <is>
          <t>HALLANDS LÄN</t>
        </is>
      </c>
      <c r="G495" t="inlineStr">
        <is>
          <t>FALKENBERG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72470-2021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46230</v>
      </c>
      <c r="F496" t="inlineStr">
        <is>
          <t>HALLANDS LÄN</t>
        </is>
      </c>
      <c r="G496" t="inlineStr">
        <is>
          <t>FALKENBERG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46230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46230</v>
      </c>
      <c r="F498" t="inlineStr">
        <is>
          <t>HALLANDS LÄN</t>
        </is>
      </c>
      <c r="G498" t="inlineStr">
        <is>
          <t>FALKENBERG</t>
        </is>
      </c>
      <c r="I498" t="n">
        <v>8.9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46217</v>
      </c>
      <c r="E499" s="1" t="n">
        <v>46230</v>
      </c>
      <c r="F499" t="inlineStr">
        <is>
          <t>HALLANDS LÄN</t>
        </is>
      </c>
      <c r="G499" t="inlineStr">
        <is>
          <t>FALKENBERG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46230</v>
      </c>
      <c r="F500" t="inlineStr">
        <is>
          <t>HALLANDS LÄN</t>
        </is>
      </c>
      <c r="G500" t="inlineStr">
        <is>
          <t>FALKENBERG</t>
        </is>
      </c>
      <c r="H500" t="inlineStr">
        <is>
          <t>Kyrkan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45384</v>
      </c>
      <c r="E501" s="1" t="n">
        <v>46230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46230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46230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46230</v>
      </c>
      <c r="F504" t="inlineStr">
        <is>
          <t>HALLANDS LÄN</t>
        </is>
      </c>
      <c r="G504" t="inlineStr">
        <is>
          <t>FALKENBERG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22109-2025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45785</v>
      </c>
      <c r="E505" s="1" t="n">
        <v>46230</v>
      </c>
      <c r="F505" t="inlineStr">
        <is>
          <t>HALLANDS LÄN</t>
        </is>
      </c>
      <c r="G505" t="inlineStr">
        <is>
          <t>FALKENBERG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46172</v>
      </c>
      <c r="E506" s="1" t="n">
        <v>46230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45131</v>
      </c>
      <c r="E507" s="1" t="n">
        <v>46230</v>
      </c>
      <c r="F507" t="inlineStr">
        <is>
          <t>HALLANDS LÄN</t>
        </is>
      </c>
      <c r="G507" t="inlineStr">
        <is>
          <t>FALKENBERG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46230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46230</v>
      </c>
      <c r="F509" t="inlineStr">
        <is>
          <t>HALLANDS LÄN</t>
        </is>
      </c>
      <c r="G509" t="inlineStr">
        <is>
          <t>FALKENBERG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46230</v>
      </c>
      <c r="F510" t="inlineStr">
        <is>
          <t>HALLANDS LÄN</t>
        </is>
      </c>
      <c r="G510" t="inlineStr">
        <is>
          <t>FALKENBERG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46230</v>
      </c>
      <c r="F511" t="inlineStr">
        <is>
          <t>HALLANDS LÄN</t>
        </is>
      </c>
      <c r="G511" t="inlineStr">
        <is>
          <t>FALKENBERG</t>
        </is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46230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40154-2024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45554</v>
      </c>
      <c r="E513" s="1" t="n">
        <v>46230</v>
      </c>
      <c r="F513" t="inlineStr">
        <is>
          <t>HALLANDS LÄN</t>
        </is>
      </c>
      <c r="G513" t="inlineStr">
        <is>
          <t>FALKENBERG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45377</v>
      </c>
      <c r="E514" s="1" t="n">
        <v>46230</v>
      </c>
      <c r="F514" t="inlineStr">
        <is>
          <t>HALLANDS LÄN</t>
        </is>
      </c>
      <c r="G514" t="inlineStr">
        <is>
          <t>FALKENBERG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15339-2024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45400</v>
      </c>
      <c r="E515" s="1" t="n">
        <v>46230</v>
      </c>
      <c r="F515" t="inlineStr">
        <is>
          <t>HALLANDS LÄN</t>
        </is>
      </c>
      <c r="G515" t="inlineStr">
        <is>
          <t>FALKENBERG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55876-2023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45239</v>
      </c>
      <c r="E516" s="1" t="n">
        <v>46230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51398-2023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46230</v>
      </c>
      <c r="F517" t="inlineStr">
        <is>
          <t>HALLANDS LÄN</t>
        </is>
      </c>
      <c r="G517" t="inlineStr">
        <is>
          <t>FALKENBERG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45762</v>
      </c>
      <c r="E518" s="1" t="n">
        <v>46230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46230</v>
      </c>
      <c r="F519" t="inlineStr">
        <is>
          <t>HALLANDS LÄN</t>
        </is>
      </c>
      <c r="G519" t="inlineStr">
        <is>
          <t>FALKENBERG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17484-2026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46120</v>
      </c>
      <c r="E520" s="1" t="n">
        <v>46230</v>
      </c>
      <c r="F520" t="inlineStr">
        <is>
          <t>HALLANDS LÄN</t>
        </is>
      </c>
      <c r="G520" t="inlineStr">
        <is>
          <t>FALKENBERG</t>
        </is>
      </c>
      <c r="H520" t="inlineStr">
        <is>
          <t>Övriga Aktiebolag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19312-2022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44692</v>
      </c>
      <c r="E521" s="1" t="n">
        <v>46230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46230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37150-2022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44806</v>
      </c>
      <c r="E523" s="1" t="n">
        <v>46230</v>
      </c>
      <c r="F523" t="inlineStr">
        <is>
          <t>HALLANDS LÄN</t>
        </is>
      </c>
      <c r="G523" t="inlineStr">
        <is>
          <t>FALKENBERG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46230</v>
      </c>
      <c r="F524" t="inlineStr">
        <is>
          <t>HALLANDS LÄN</t>
        </is>
      </c>
      <c r="G524" t="inlineStr">
        <is>
          <t>FALKENBERG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46230</v>
      </c>
      <c r="F525" t="inlineStr">
        <is>
          <t>HALLANDS LÄN</t>
        </is>
      </c>
      <c r="G525" t="inlineStr">
        <is>
          <t>FALKENBERG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46230</v>
      </c>
      <c r="F526" t="inlineStr">
        <is>
          <t>HALLANDS LÄN</t>
        </is>
      </c>
      <c r="G526" t="inlineStr">
        <is>
          <t>FALKENBERG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46230</v>
      </c>
      <c r="F527" t="inlineStr">
        <is>
          <t>HALLANDS LÄN</t>
        </is>
      </c>
      <c r="G527" t="inlineStr">
        <is>
          <t>FALKENBERG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46230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46230</v>
      </c>
      <c r="F529" t="inlineStr">
        <is>
          <t>HALLANDS LÄN</t>
        </is>
      </c>
      <c r="G529" t="inlineStr">
        <is>
          <t>FALKENBERG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46230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46230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46230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46230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46230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46230</v>
      </c>
      <c r="F535" t="inlineStr">
        <is>
          <t>HALLANDS LÄN</t>
        </is>
      </c>
      <c r="G535" t="inlineStr">
        <is>
          <t>FALKENBERG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46230</v>
      </c>
      <c r="F536" t="inlineStr">
        <is>
          <t>HALLANDS LÄN</t>
        </is>
      </c>
      <c r="G536" t="inlineStr">
        <is>
          <t>FALKENBERG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46230</v>
      </c>
      <c r="F537" t="inlineStr">
        <is>
          <t>HALLANDS LÄN</t>
        </is>
      </c>
      <c r="G537" t="inlineStr">
        <is>
          <t>FALKENBERG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6703-2022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44602</v>
      </c>
      <c r="E538" s="1" t="n">
        <v>46230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45575</v>
      </c>
      <c r="E539" s="1" t="n">
        <v>46230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45627</v>
      </c>
      <c r="E540" s="1" t="n">
        <v>46230</v>
      </c>
      <c r="F540" t="inlineStr">
        <is>
          <t>HALLANDS LÄN</t>
        </is>
      </c>
      <c r="G540" t="inlineStr">
        <is>
          <t>FALKENBERG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45474</v>
      </c>
      <c r="E541" s="1" t="n">
        <v>46230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46230</v>
      </c>
      <c r="F542" t="inlineStr">
        <is>
          <t>HALLANDS LÄN</t>
        </is>
      </c>
      <c r="G542" t="inlineStr">
        <is>
          <t>FALKENBERG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46230</v>
      </c>
      <c r="F543" t="inlineStr">
        <is>
          <t>HALLANDS LÄN</t>
        </is>
      </c>
      <c r="G543" t="inlineStr">
        <is>
          <t>FALKENBERG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45118</v>
      </c>
      <c r="E544" s="1" t="n">
        <v>46230</v>
      </c>
      <c r="F544" t="inlineStr">
        <is>
          <t>HALLANDS LÄN</t>
        </is>
      </c>
      <c r="G544" t="inlineStr">
        <is>
          <t>FALKENBERG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45247</v>
      </c>
      <c r="E545" s="1" t="n">
        <v>46230</v>
      </c>
      <c r="F545" t="inlineStr">
        <is>
          <t>HALLANDS LÄN</t>
        </is>
      </c>
      <c r="G545" t="inlineStr">
        <is>
          <t>FALKENBERG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50647-2024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46230</v>
      </c>
      <c r="F546" t="inlineStr">
        <is>
          <t>HALLANDS LÄN</t>
        </is>
      </c>
      <c r="G546" t="inlineStr">
        <is>
          <t>FALKENBERG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46230</v>
      </c>
      <c r="F547" t="inlineStr">
        <is>
          <t>HALLANDS LÄN</t>
        </is>
      </c>
      <c r="G547" t="inlineStr">
        <is>
          <t>FALKENBERG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46230</v>
      </c>
      <c r="F548" t="inlineStr">
        <is>
          <t>HALLANDS LÄN</t>
        </is>
      </c>
      <c r="G548" t="inlineStr">
        <is>
          <t>FALKENBERG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46230</v>
      </c>
      <c r="F549" t="inlineStr">
        <is>
          <t>HALLANDS LÄN</t>
        </is>
      </c>
      <c r="G549" t="inlineStr">
        <is>
          <t>FALKENBERG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46230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44785</v>
      </c>
      <c r="E551" s="1" t="n">
        <v>46230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46230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46230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46230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46230</v>
      </c>
      <c r="F555" t="inlineStr">
        <is>
          <t>HALLANDS LÄN</t>
        </is>
      </c>
      <c r="G555" t="inlineStr">
        <is>
          <t>FALKENBERG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55878-2023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45239</v>
      </c>
      <c r="E556" s="1" t="n">
        <v>46230</v>
      </c>
      <c r="F556" t="inlineStr">
        <is>
          <t>HALLANDS LÄN</t>
        </is>
      </c>
      <c r="G556" t="inlineStr">
        <is>
          <t>FALKENBERG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63033-2023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45272</v>
      </c>
      <c r="E557" s="1" t="n">
        <v>46230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53939-2021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44469</v>
      </c>
      <c r="E558" s="1" t="n">
        <v>46230</v>
      </c>
      <c r="F558" t="inlineStr">
        <is>
          <t>HALLANDS LÄN</t>
        </is>
      </c>
      <c r="G558" t="inlineStr">
        <is>
          <t>FALKENBERG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45029</v>
      </c>
      <c r="E559" s="1" t="n">
        <v>46230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45680</v>
      </c>
      <c r="E560" s="1" t="n">
        <v>46230</v>
      </c>
      <c r="F560" t="inlineStr">
        <is>
          <t>HALLANDS LÄN</t>
        </is>
      </c>
      <c r="G560" t="inlineStr">
        <is>
          <t>FALKENBERG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46230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46230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46230</v>
      </c>
      <c r="F563" t="inlineStr">
        <is>
          <t>HALLANDS LÄN</t>
        </is>
      </c>
      <c r="G563" t="inlineStr">
        <is>
          <t>FALKENBERG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44966</v>
      </c>
      <c r="E564" s="1" t="n">
        <v>46230</v>
      </c>
      <c r="F564" t="inlineStr">
        <is>
          <t>HALLANDS LÄN</t>
        </is>
      </c>
      <c r="G564" t="inlineStr">
        <is>
          <t>FALKENBERG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56650-2023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45238</v>
      </c>
      <c r="E565" s="1" t="n">
        <v>46230</v>
      </c>
      <c r="F565" t="inlineStr">
        <is>
          <t>HALLANDS LÄN</t>
        </is>
      </c>
      <c r="G565" t="inlineStr">
        <is>
          <t>FALKENBERG</t>
        </is>
      </c>
      <c r="I565" t="n">
        <v>29.4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45597</v>
      </c>
      <c r="E566" s="1" t="n">
        <v>46230</v>
      </c>
      <c r="F566" t="inlineStr">
        <is>
          <t>HALLANDS LÄN</t>
        </is>
      </c>
      <c r="G566" t="inlineStr">
        <is>
          <t>FALKENBERG</t>
        </is>
      </c>
      <c r="H566" t="inlineStr">
        <is>
          <t>Kyrkan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46230</v>
      </c>
      <c r="F567" t="inlineStr">
        <is>
          <t>HALLANDS LÄN</t>
        </is>
      </c>
      <c r="G567" t="inlineStr">
        <is>
          <t>FALKENBERG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8892-2024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46230</v>
      </c>
      <c r="F568" t="inlineStr">
        <is>
          <t>HALLANDS LÄN</t>
        </is>
      </c>
      <c r="G568" t="inlineStr">
        <is>
          <t>FALKENBERG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45323</v>
      </c>
      <c r="E569" s="1" t="n">
        <v>46230</v>
      </c>
      <c r="F569" t="inlineStr">
        <is>
          <t>HALLANDS LÄN</t>
        </is>
      </c>
      <c r="G569" t="inlineStr">
        <is>
          <t>FALKENBERG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45381</v>
      </c>
      <c r="E570" s="1" t="n">
        <v>46230</v>
      </c>
      <c r="F570" t="inlineStr">
        <is>
          <t>HALLANDS LÄN</t>
        </is>
      </c>
      <c r="G570" t="inlineStr">
        <is>
          <t>FALKENBERG</t>
        </is>
      </c>
      <c r="I570" t="n">
        <v>14.4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45127</v>
      </c>
      <c r="E571" s="1" t="n">
        <v>46230</v>
      </c>
      <c r="F571" t="inlineStr">
        <is>
          <t>HALLANDS LÄN</t>
        </is>
      </c>
      <c r="G571" t="inlineStr">
        <is>
          <t>FALKENBERG</t>
        </is>
      </c>
      <c r="H571" t="inlineStr">
        <is>
          <t>Kommuner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53400-2023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45229</v>
      </c>
      <c r="E572" s="1" t="n">
        <v>46230</v>
      </c>
      <c r="F572" t="inlineStr">
        <is>
          <t>HALLANDS LÄN</t>
        </is>
      </c>
      <c r="G572" t="inlineStr">
        <is>
          <t>FALKENBERG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45282</v>
      </c>
      <c r="E573" s="1" t="n">
        <v>46230</v>
      </c>
      <c r="F573" t="inlineStr">
        <is>
          <t>HALLANDS LÄN</t>
        </is>
      </c>
      <c r="G573" t="inlineStr">
        <is>
          <t>FALKENBERG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45142</v>
      </c>
      <c r="E574" s="1" t="n">
        <v>46230</v>
      </c>
      <c r="F574" t="inlineStr">
        <is>
          <t>HALLANDS LÄN</t>
        </is>
      </c>
      <c r="G574" t="inlineStr">
        <is>
          <t>FALKENBERG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45035</v>
      </c>
      <c r="E575" s="1" t="n">
        <v>46230</v>
      </c>
      <c r="F575" t="inlineStr">
        <is>
          <t>HALLANDS LÄN</t>
        </is>
      </c>
      <c r="G575" t="inlineStr">
        <is>
          <t>FALKENBERG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44938</v>
      </c>
      <c r="E576" s="1" t="n">
        <v>46230</v>
      </c>
      <c r="F576" t="inlineStr">
        <is>
          <t>HALLANDS LÄN</t>
        </is>
      </c>
      <c r="G576" t="inlineStr">
        <is>
          <t>FALKENBERG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32402-2023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46230</v>
      </c>
      <c r="F577" t="inlineStr">
        <is>
          <t>HALLANDS LÄN</t>
        </is>
      </c>
      <c r="G577" t="inlineStr">
        <is>
          <t>FALKENBERG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46230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44627</v>
      </c>
      <c r="E579" s="1" t="n">
        <v>46230</v>
      </c>
      <c r="F579" t="inlineStr">
        <is>
          <t>HALLANDS LÄN</t>
        </is>
      </c>
      <c r="G579" t="inlineStr">
        <is>
          <t>FALKENBERG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46230</v>
      </c>
      <c r="F580" t="inlineStr">
        <is>
          <t>HALLANDS LÄN</t>
        </is>
      </c>
      <c r="G580" t="inlineStr">
        <is>
          <t>FALKENBERG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46230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44957</v>
      </c>
      <c r="E582" s="1" t="n">
        <v>46230</v>
      </c>
      <c r="F582" t="inlineStr">
        <is>
          <t>HALLANDS LÄN</t>
        </is>
      </c>
      <c r="G582" t="inlineStr">
        <is>
          <t>FALKENBERG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45246</v>
      </c>
      <c r="E583" s="1" t="n">
        <v>46230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41610-2022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44827</v>
      </c>
      <c r="E584" s="1" t="n">
        <v>46230</v>
      </c>
      <c r="F584" t="inlineStr">
        <is>
          <t>HALLANDS LÄN</t>
        </is>
      </c>
      <c r="G584" t="inlineStr">
        <is>
          <t>FALKENBERG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45435</v>
      </c>
      <c r="E585" s="1" t="n">
        <v>46230</v>
      </c>
      <c r="F585" t="inlineStr">
        <is>
          <t>HALLANDS LÄN</t>
        </is>
      </c>
      <c r="G585" t="inlineStr">
        <is>
          <t>FALKENBERG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46230</v>
      </c>
      <c r="F586" t="inlineStr">
        <is>
          <t>HALLANDS LÄN</t>
        </is>
      </c>
      <c r="G586" t="inlineStr">
        <is>
          <t>FALKENBERG</t>
        </is>
      </c>
      <c r="H586" t="inlineStr">
        <is>
          <t>Kommuner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9355-2025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46230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49126-2021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44453</v>
      </c>
      <c r="E588" s="1" t="n">
        <v>46230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45618</v>
      </c>
      <c r="E589" s="1" t="n">
        <v>46230</v>
      </c>
      <c r="F589" t="inlineStr">
        <is>
          <t>HALLANDS LÄN</t>
        </is>
      </c>
      <c r="G589" t="inlineStr">
        <is>
          <t>FALKENBERG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44694</v>
      </c>
      <c r="E590" s="1" t="n">
        <v>46230</v>
      </c>
      <c r="F590" t="inlineStr">
        <is>
          <t>HALLANDS LÄN</t>
        </is>
      </c>
      <c r="G590" t="inlineStr">
        <is>
          <t>FALKENBERG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47698-2024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46230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45076</v>
      </c>
      <c r="E592" s="1" t="n">
        <v>46230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66135-2021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44517</v>
      </c>
      <c r="E593" s="1" t="n">
        <v>46230</v>
      </c>
      <c r="F593" t="inlineStr">
        <is>
          <t>HALLANDS LÄN</t>
        </is>
      </c>
      <c r="G593" t="inlineStr">
        <is>
          <t>FALKENBERG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47021-2022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44852</v>
      </c>
      <c r="E594" s="1" t="n">
        <v>46230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33484-2023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45131</v>
      </c>
      <c r="E595" s="1" t="n">
        <v>46230</v>
      </c>
      <c r="F595" t="inlineStr">
        <is>
          <t>HALLANDS LÄN</t>
        </is>
      </c>
      <c r="G595" t="inlineStr">
        <is>
          <t>FALKENBERG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8908-2024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46230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10748-2022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44627</v>
      </c>
      <c r="E597" s="1" t="n">
        <v>46230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45357</v>
      </c>
      <c r="E598" s="1" t="n">
        <v>46230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45226</v>
      </c>
      <c r="E599" s="1" t="n">
        <v>46230</v>
      </c>
      <c r="F599" t="inlineStr">
        <is>
          <t>HALLANDS LÄN</t>
        </is>
      </c>
      <c r="G599" t="inlineStr">
        <is>
          <t>FALKENBERG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8262-2023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44974</v>
      </c>
      <c r="E600" s="1" t="n">
        <v>46230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44964</v>
      </c>
      <c r="E601" s="1" t="n">
        <v>46230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45355</v>
      </c>
      <c r="E602" s="1" t="n">
        <v>46230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31568-2023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45117</v>
      </c>
      <c r="E603" s="1" t="n">
        <v>46230</v>
      </c>
      <c r="F603" t="inlineStr">
        <is>
          <t>HALLANDS LÄN</t>
        </is>
      </c>
      <c r="G603" t="inlineStr">
        <is>
          <t>FALKENBERG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44946</v>
      </c>
      <c r="E604" s="1" t="n">
        <v>46230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45439</v>
      </c>
      <c r="E605" s="1" t="n">
        <v>46230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46230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41242-2023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46230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46230</v>
      </c>
      <c r="F608" t="inlineStr">
        <is>
          <t>HALLANDS LÄN</t>
        </is>
      </c>
      <c r="G608" t="inlineStr">
        <is>
          <t>FALKENBERG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46230</v>
      </c>
      <c r="F609" t="inlineStr">
        <is>
          <t>HALLANDS LÄN</t>
        </is>
      </c>
      <c r="G609" t="inlineStr">
        <is>
          <t>FALKENBERG</t>
        </is>
      </c>
      <c r="H609" t="inlineStr">
        <is>
          <t>Kyrkan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46230</v>
      </c>
      <c r="F610" t="inlineStr">
        <is>
          <t>HALLANDS LÄN</t>
        </is>
      </c>
      <c r="G610" t="inlineStr">
        <is>
          <t>FALKENBERG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46441-2024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45582</v>
      </c>
      <c r="E611" s="1" t="n">
        <v>46230</v>
      </c>
      <c r="F611" t="inlineStr">
        <is>
          <t>HALLANDS LÄN</t>
        </is>
      </c>
      <c r="G611" t="inlineStr">
        <is>
          <t>FALKENBERG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45071</v>
      </c>
      <c r="E612" s="1" t="n">
        <v>46230</v>
      </c>
      <c r="F612" t="inlineStr">
        <is>
          <t>HALLANDS LÄN</t>
        </is>
      </c>
      <c r="G612" t="inlineStr">
        <is>
          <t>FALKENBERG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45777</v>
      </c>
      <c r="E613" s="1" t="n">
        <v>46230</v>
      </c>
      <c r="F613" t="inlineStr">
        <is>
          <t>HALLANDS LÄN</t>
        </is>
      </c>
      <c r="G613" t="inlineStr">
        <is>
          <t>FALKENBERG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21512-2025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46230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46230</v>
      </c>
      <c r="F615" t="inlineStr">
        <is>
          <t>HALLANDS LÄN</t>
        </is>
      </c>
      <c r="G615" t="inlineStr">
        <is>
          <t>FALKENBERG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45785</v>
      </c>
      <c r="E616" s="1" t="n">
        <v>46230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22100-2025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45785</v>
      </c>
      <c r="E617" s="1" t="n">
        <v>46230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45741</v>
      </c>
      <c r="E618" s="1" t="n">
        <v>46230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45562</v>
      </c>
      <c r="E619" s="1" t="n">
        <v>46230</v>
      </c>
      <c r="F619" t="inlineStr">
        <is>
          <t>HALLANDS LÄN</t>
        </is>
      </c>
      <c r="G619" t="inlineStr">
        <is>
          <t>FALKENBERG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21925-2024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45443</v>
      </c>
      <c r="E620" s="1" t="n">
        <v>46230</v>
      </c>
      <c r="F620" t="inlineStr">
        <is>
          <t>HALLANDS LÄN</t>
        </is>
      </c>
      <c r="G620" t="inlineStr">
        <is>
          <t>FALKENBERG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46522-2024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46230</v>
      </c>
      <c r="F621" t="inlineStr">
        <is>
          <t>HALLANDS LÄN</t>
        </is>
      </c>
      <c r="G621" t="inlineStr">
        <is>
          <t>FALKENBERG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54131-2024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45616</v>
      </c>
      <c r="E622" s="1" t="n">
        <v>46230</v>
      </c>
      <c r="F622" t="inlineStr">
        <is>
          <t>HALLANDS LÄN</t>
        </is>
      </c>
      <c r="G622" t="inlineStr">
        <is>
          <t>FALKENBERG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46230</v>
      </c>
      <c r="F623" t="inlineStr">
        <is>
          <t>HALLANDS LÄN</t>
        </is>
      </c>
      <c r="G623" t="inlineStr">
        <is>
          <t>FALKENBERG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45748</v>
      </c>
      <c r="E624" s="1" t="n">
        <v>46230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46230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45666</v>
      </c>
      <c r="E626" s="1" t="n">
        <v>46230</v>
      </c>
      <c r="F626" t="inlineStr">
        <is>
          <t>HALLANDS LÄN</t>
        </is>
      </c>
      <c r="G626" t="inlineStr">
        <is>
          <t>FALKENBERG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24887-2025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46230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46230</v>
      </c>
      <c r="F628" t="inlineStr">
        <is>
          <t>HALLANDS LÄN</t>
        </is>
      </c>
      <c r="G628" t="inlineStr">
        <is>
          <t>FALKENBERG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45799</v>
      </c>
      <c r="E629" s="1" t="n">
        <v>46230</v>
      </c>
      <c r="F629" t="inlineStr">
        <is>
          <t>HALLANDS LÄN</t>
        </is>
      </c>
      <c r="G629" t="inlineStr">
        <is>
          <t>FALKENBERG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46230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25852-2024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45467</v>
      </c>
      <c r="E631" s="1" t="n">
        <v>46230</v>
      </c>
      <c r="F631" t="inlineStr">
        <is>
          <t>HALLANDS LÄN</t>
        </is>
      </c>
      <c r="G631" t="inlineStr">
        <is>
          <t>FALKENBERG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8827-2025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46230</v>
      </c>
      <c r="F632" t="inlineStr">
        <is>
          <t>HALLANDS LÄN</t>
        </is>
      </c>
      <c r="G632" t="inlineStr">
        <is>
          <t>FALKENBERG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57523-2024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45630</v>
      </c>
      <c r="E633" s="1" t="n">
        <v>46230</v>
      </c>
      <c r="F633" t="inlineStr">
        <is>
          <t>HALLANDS LÄN</t>
        </is>
      </c>
      <c r="G633" t="inlineStr">
        <is>
          <t>FALKENBERG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45615</v>
      </c>
      <c r="E634" s="1" t="n">
        <v>46230</v>
      </c>
      <c r="F634" t="inlineStr">
        <is>
          <t>HALLANDS LÄN</t>
        </is>
      </c>
      <c r="G634" t="inlineStr">
        <is>
          <t>FALKENBERG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45821</v>
      </c>
      <c r="E635" s="1" t="n">
        <v>46230</v>
      </c>
      <c r="F635" t="inlineStr">
        <is>
          <t>HALLANDS LÄN</t>
        </is>
      </c>
      <c r="G635" t="inlineStr">
        <is>
          <t>FALKENBERG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31682-2025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46230</v>
      </c>
      <c r="F636" t="inlineStr">
        <is>
          <t>HALLANDS LÄN</t>
        </is>
      </c>
      <c r="G636" t="inlineStr">
        <is>
          <t>FALKENBERG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45834</v>
      </c>
      <c r="E637" s="1" t="n">
        <v>46230</v>
      </c>
      <c r="F637" t="inlineStr">
        <is>
          <t>HALLANDS LÄN</t>
        </is>
      </c>
      <c r="G637" t="inlineStr">
        <is>
          <t>FALKENBERG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31690-2025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45834</v>
      </c>
      <c r="E638" s="1" t="n">
        <v>46230</v>
      </c>
      <c r="F638" t="inlineStr">
        <is>
          <t>HALLANDS LÄN</t>
        </is>
      </c>
      <c r="G638" t="inlineStr">
        <is>
          <t>FALKENBERG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45836</v>
      </c>
      <c r="E639" s="1" t="n">
        <v>46230</v>
      </c>
      <c r="F639" t="inlineStr">
        <is>
          <t>HALLANDS LÄN</t>
        </is>
      </c>
      <c r="G639" t="inlineStr">
        <is>
          <t>FALKENBERG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45838</v>
      </c>
      <c r="E640" s="1" t="n">
        <v>46230</v>
      </c>
      <c r="F640" t="inlineStr">
        <is>
          <t>HALLANDS LÄN</t>
        </is>
      </c>
      <c r="G640" t="inlineStr">
        <is>
          <t>FALKENBERG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32519-2025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45838</v>
      </c>
      <c r="E641" s="1" t="n">
        <v>46230</v>
      </c>
      <c r="F641" t="inlineStr">
        <is>
          <t>HALLANDS LÄN</t>
        </is>
      </c>
      <c r="G641" t="inlineStr">
        <is>
          <t>FALKENBERG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45838</v>
      </c>
      <c r="E642" s="1" t="n">
        <v>46230</v>
      </c>
      <c r="F642" t="inlineStr">
        <is>
          <t>HALLANDS LÄN</t>
        </is>
      </c>
      <c r="G642" t="inlineStr">
        <is>
          <t>FALKENBERG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46230</v>
      </c>
      <c r="F643" t="inlineStr">
        <is>
          <t>HALLANDS LÄN</t>
        </is>
      </c>
      <c r="G643" t="inlineStr">
        <is>
          <t>FALKENBERG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32399-2025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45838</v>
      </c>
      <c r="E644" s="1" t="n">
        <v>46230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45845</v>
      </c>
      <c r="E645" s="1" t="n">
        <v>46230</v>
      </c>
      <c r="F645" t="inlineStr">
        <is>
          <t>HALLANDS LÄN</t>
        </is>
      </c>
      <c r="G645" t="inlineStr">
        <is>
          <t>FALKENBERG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44984</v>
      </c>
      <c r="E646" s="1" t="n">
        <v>46230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45848</v>
      </c>
      <c r="E647" s="1" t="n">
        <v>46230</v>
      </c>
      <c r="F647" t="inlineStr">
        <is>
          <t>HALLANDS LÄN</t>
        </is>
      </c>
      <c r="G647" t="inlineStr">
        <is>
          <t>FALKENBERG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16194-2025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45750</v>
      </c>
      <c r="E648" s="1" t="n">
        <v>46230</v>
      </c>
      <c r="F648" t="inlineStr">
        <is>
          <t>HALLANDS LÄN</t>
        </is>
      </c>
      <c r="G648" t="inlineStr">
        <is>
          <t>FALKENBERG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45777</v>
      </c>
      <c r="E649" s="1" t="n">
        <v>46230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46230</v>
      </c>
      <c r="F650" t="inlineStr">
        <is>
          <t>HALLANDS LÄN</t>
        </is>
      </c>
      <c r="G650" t="inlineStr">
        <is>
          <t>FALKENBERG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43576-2023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46230</v>
      </c>
      <c r="F651" t="inlineStr">
        <is>
          <t>HALLANDS LÄN</t>
        </is>
      </c>
      <c r="G651" t="inlineStr">
        <is>
          <t>FALKENBERG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43610-2023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45184</v>
      </c>
      <c r="E652" s="1" t="n">
        <v>46230</v>
      </c>
      <c r="F652" t="inlineStr">
        <is>
          <t>HALLANDS LÄN</t>
        </is>
      </c>
      <c r="G652" t="inlineStr">
        <is>
          <t>FALKENBERG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45337</v>
      </c>
      <c r="E653" s="1" t="n">
        <v>46230</v>
      </c>
      <c r="F653" t="inlineStr">
        <is>
          <t>HALLANDS LÄN</t>
        </is>
      </c>
      <c r="G653" t="inlineStr">
        <is>
          <t>FALKENBERG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45249</v>
      </c>
      <c r="E654" s="1" t="n">
        <v>46230</v>
      </c>
      <c r="F654" t="inlineStr">
        <is>
          <t>HALLANDS LÄN</t>
        </is>
      </c>
      <c r="G654" t="inlineStr">
        <is>
          <t>FALKENBERG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45970-2022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44846</v>
      </c>
      <c r="E655" s="1" t="n">
        <v>46230</v>
      </c>
      <c r="F655" t="inlineStr">
        <is>
          <t>HALLANDS LÄN</t>
        </is>
      </c>
      <c r="G655" t="inlineStr">
        <is>
          <t>FALKENBERG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45974-2022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44846</v>
      </c>
      <c r="E656" s="1" t="n">
        <v>46230</v>
      </c>
      <c r="F656" t="inlineStr">
        <is>
          <t>HALLANDS LÄN</t>
        </is>
      </c>
      <c r="G656" t="inlineStr">
        <is>
          <t>FALKENBERG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33071-2025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45840</v>
      </c>
      <c r="E657" s="1" t="n">
        <v>46230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29863-2025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45826</v>
      </c>
      <c r="E658" s="1" t="n">
        <v>46230</v>
      </c>
      <c r="F658" t="inlineStr">
        <is>
          <t>HALLANDS LÄN</t>
        </is>
      </c>
      <c r="G658" t="inlineStr">
        <is>
          <t>FALKENBERG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18321-2024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45422</v>
      </c>
      <c r="E659" s="1" t="n">
        <v>46230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43581-2023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46230</v>
      </c>
      <c r="F660" t="inlineStr">
        <is>
          <t>HALLANDS LÄN</t>
        </is>
      </c>
      <c r="G660" t="inlineStr">
        <is>
          <t>FALKENBERG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14606-2023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45013</v>
      </c>
      <c r="E661" s="1" t="n">
        <v>46230</v>
      </c>
      <c r="F661" t="inlineStr">
        <is>
          <t>HALLANDS LÄN</t>
        </is>
      </c>
      <c r="G661" t="inlineStr">
        <is>
          <t>FALKENBERG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63254-2023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45273</v>
      </c>
      <c r="E662" s="1" t="n">
        <v>46230</v>
      </c>
      <c r="F662" t="inlineStr">
        <is>
          <t>HALLANDS LÄN</t>
        </is>
      </c>
      <c r="G662" t="inlineStr">
        <is>
          <t>FALKENBERG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45280</v>
      </c>
      <c r="E663" s="1" t="n">
        <v>46230</v>
      </c>
      <c r="F663" t="inlineStr">
        <is>
          <t>HALLANDS LÄN</t>
        </is>
      </c>
      <c r="G663" t="inlineStr">
        <is>
          <t>FALKENBERG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46230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4308-2023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45259</v>
      </c>
      <c r="E665" s="1" t="n">
        <v>46230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621-2024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46230</v>
      </c>
      <c r="F666" t="inlineStr">
        <is>
          <t>HALLANDS LÄN</t>
        </is>
      </c>
      <c r="G666" t="inlineStr">
        <is>
          <t>FALKENBERG</t>
        </is>
      </c>
      <c r="I666" t="n">
        <v>47.3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5495-2021</t>
        </is>
      </c>
      <c r="B667" t="inlineStr">
        <is>
          <t>samrådsanmälan</t>
        </is>
      </c>
      <c r="C667" t="inlineStr">
        <is>
          <t>Basväg</t>
        </is>
      </c>
      <c r="D667" s="1" t="n">
        <v>44431</v>
      </c>
      <c r="E667" s="1" t="n">
        <v>46230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951-2022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44608</v>
      </c>
      <c r="E668" s="1" t="n">
        <v>46230</v>
      </c>
      <c r="F668" t="inlineStr">
        <is>
          <t>HALLANDS LÄN</t>
        </is>
      </c>
      <c r="G668" t="inlineStr">
        <is>
          <t>FALKENBERG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4323-2023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45261</v>
      </c>
      <c r="E669" s="1" t="n">
        <v>46230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1472-2022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44636</v>
      </c>
      <c r="E670" s="1" t="n">
        <v>46230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46230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46230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46230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46230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46230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46230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46230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46230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46230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46230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46230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46230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46230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46230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46230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46230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46230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46230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46230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46230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46230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46230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46230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46230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46230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46230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46230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46230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46230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46230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46230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46230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46230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2026-07-27T01:53:15Z</dcterms:created>
  <dcterms:modified xmlns:dcterms="http://purl.org/dc/terms/" xmlns:xsi="http://www.w3.org/2001/XMLSchema-instance" xsi:type="dcterms:W3CDTF">2026-07-27T01:53:15Z</dcterms:modified>
</cp:coreProperties>
</file>