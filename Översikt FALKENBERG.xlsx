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46223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X2">
        <f>HYPERLINK("https://klasma.github.io/Logging_1382/kartor_geotiff/A 5005-2022 georefererad karta.tif", "A 5005-2022")</f>
        <v/>
      </c>
      <c r="Z2">
        <f>HYPERLINK("https://klasma.github.io/Logging_1382/klagomål/A 5005-2022 FSC-klagomål.docx", "A 5005-2022")</f>
        <v/>
      </c>
      <c r="AA2">
        <f>HYPERLINK("https://klasma.github.io/Logging_1382/klagomålsmail/A 5005-2022 FSC-klagomål mail.docx", "A 5005-2022")</f>
        <v/>
      </c>
      <c r="AB2">
        <f>HYPERLINK("https://klasma.github.io/Logging_1382/tillsyn/A 5005-2022 tillsynsbegäran.docx", "A 5005-2022")</f>
        <v/>
      </c>
      <c r="AC2">
        <f>HYPERLINK("https://klasma.github.io/Logging_1382/tillsynsmail/A 5005-2022 tillsynsbegäran mail.docx", "A 5005-2022")</f>
        <v/>
      </c>
      <c r="AD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46223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X3">
        <f>HYPERLINK("https://klasma.github.io/Logging_1382/kartor_geotiff/S 3856-2024 georefererad karta.tif", "S 3856-2024")</f>
        <v/>
      </c>
      <c r="Z3">
        <f>HYPERLINK("https://klasma.github.io/Logging_1382/klagomål/S 3856-2024 FSC-klagomål.docx", "S 3856-2024")</f>
        <v/>
      </c>
      <c r="AA3">
        <f>HYPERLINK("https://klasma.github.io/Logging_1382/klagomålsmail/S 3856-2024 FSC-klagomål mail.docx", "S 3856-2024")</f>
        <v/>
      </c>
      <c r="AB3">
        <f>HYPERLINK("https://klasma.github.io/Logging_1382/tillsyn/S 3856-2024 tillsynsbegäran.docx", "S 3856-2024")</f>
        <v/>
      </c>
      <c r="AC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46223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X4">
        <f>HYPERLINK("https://klasma.github.io/Logging_1382/kartor_geotiff/S 951-2025 georefererad karta.tif", "S 951-2025")</f>
        <v/>
      </c>
      <c r="Z4">
        <f>HYPERLINK("https://klasma.github.io/Logging_1382/klagomål/S 951-2025 FSC-klagomål.docx", "S 951-2025")</f>
        <v/>
      </c>
      <c r="AA4">
        <f>HYPERLINK("https://klasma.github.io/Logging_1382/klagomålsmail/S 951-2025 FSC-klagomål mail.docx", "S 951-2025")</f>
        <v/>
      </c>
      <c r="AB4">
        <f>HYPERLINK("https://klasma.github.io/Logging_1382/tillsyn/S 951-2025 tillsynsbegäran.docx", "S 951-2025")</f>
        <v/>
      </c>
      <c r="AC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X5">
        <f>HYPERLINK("https://klasma.github.io/Logging_1382/kartor_geotiff/A 4720-2022 georefererad karta.tif", "A 4720-2022")</f>
        <v/>
      </c>
      <c r="Z5">
        <f>HYPERLINK("https://klasma.github.io/Logging_1382/klagomål/A 4720-2022 FSC-klagomål.docx", "A 4720-2022")</f>
        <v/>
      </c>
      <c r="AA5">
        <f>HYPERLINK("https://klasma.github.io/Logging_1382/klagomålsmail/A 4720-2022 FSC-klagomål mail.docx", "A 4720-2022")</f>
        <v/>
      </c>
      <c r="AB5">
        <f>HYPERLINK("https://klasma.github.io/Logging_1382/tillsyn/A 4720-2022 tillsynsbegäran.docx", "A 4720-2022")</f>
        <v/>
      </c>
      <c r="AC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46223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X6">
        <f>HYPERLINK("https://klasma.github.io/Logging_1382/kartor_geotiff/A 5002-2022 georefererad karta.tif", "A 5002-2022")</f>
        <v/>
      </c>
      <c r="Z6">
        <f>HYPERLINK("https://klasma.github.io/Logging_1382/klagomål/A 5002-2022 FSC-klagomål.docx", "A 5002-2022")</f>
        <v/>
      </c>
      <c r="AA6">
        <f>HYPERLINK("https://klasma.github.io/Logging_1382/klagomålsmail/A 5002-2022 FSC-klagomål mail.docx", "A 5002-2022")</f>
        <v/>
      </c>
      <c r="AB6">
        <f>HYPERLINK("https://klasma.github.io/Logging_1382/tillsyn/A 5002-2022 tillsynsbegäran.docx", "A 5002-2022")</f>
        <v/>
      </c>
      <c r="AC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46223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s="2" t="inlineStr">
        <is>
          <t>Ask
Skogsalm
Björksplintborre
Spillkråka
Gröngöling</t>
        </is>
      </c>
      <c r="V7">
        <f>HYPERLINK("https://klasma.github.io/Logging_1382/artfynd/S 1321-2022 artfynd.xlsx", "S 1321-2022")</f>
        <v/>
      </c>
      <c r="W7">
        <f>HYPERLINK("https://klasma.github.io/Logging_1382/kartor/S 1321-2022 karta.png", "S 1321-2022")</f>
        <v/>
      </c>
      <c r="X7">
        <f>HYPERLINK("https://klasma.github.io/Logging_1382/kartor_geotiff/S 1321-2022 georefererad karta.tif", "S 1321-2022")</f>
        <v/>
      </c>
      <c r="Z7">
        <f>HYPERLINK("https://klasma.github.io/Logging_1382/klagomål/S 1321-2022 FSC-klagomål.docx", "S 1321-2022")</f>
        <v/>
      </c>
      <c r="AA7">
        <f>HYPERLINK("https://klasma.github.io/Logging_1382/klagomålsmail/S 1321-2022 FSC-klagomål mail.docx", "S 1321-2022")</f>
        <v/>
      </c>
      <c r="AB7">
        <f>HYPERLINK("https://klasma.github.io/Logging_1382/tillsyn/S 1321-2022 tillsynsbegäran.docx", "S 1321-2022")</f>
        <v/>
      </c>
      <c r="AC7">
        <f>HYPERLINK("https://klasma.github.io/Logging_1382/tillsynsmail/S 1321-2022 tillsynsbegäran mail.docx", "S 1321-2022")</f>
        <v/>
      </c>
      <c r="AD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46223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s="2" t="inlineStr">
        <is>
          <t>Skogsalm
Desmeknopp
Vårstarr
Guldlockmossa
Rostfläck</t>
        </is>
      </c>
      <c r="V8">
        <f>HYPERLINK("https://klasma.github.io/Logging_1382/artfynd/S 9258-2021 artfynd.xlsx", "S 9258-2021")</f>
        <v/>
      </c>
      <c r="W8">
        <f>HYPERLINK("https://klasma.github.io/Logging_1382/kartor/S 9258-2021 karta.png", "S 9258-2021")</f>
        <v/>
      </c>
      <c r="X8">
        <f>HYPERLINK("https://klasma.github.io/Logging_1382/kartor_geotiff/S 9258-2021 georefererad karta.tif", "S 9258-2021")</f>
        <v/>
      </c>
      <c r="Z8">
        <f>HYPERLINK("https://klasma.github.io/Logging_1382/klagomål/S 9258-2021 FSC-klagomål.docx", "S 9258-2021")</f>
        <v/>
      </c>
      <c r="AA8">
        <f>HYPERLINK("https://klasma.github.io/Logging_1382/klagomålsmail/S 9258-2021 FSC-klagomål mail.docx", "S 9258-2021")</f>
        <v/>
      </c>
      <c r="AB8">
        <f>HYPERLINK("https://klasma.github.io/Logging_1382/tillsyn/S 9258-2021 tillsynsbegäran.docx", "S 9258-2021")</f>
        <v/>
      </c>
      <c r="AC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46223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X9">
        <f>HYPERLINK("https://klasma.github.io/Logging_1382/kartor_geotiff/A 24104-2023 georefererad karta.tif", "A 24104-2023")</f>
        <v/>
      </c>
      <c r="Z9">
        <f>HYPERLINK("https://klasma.github.io/Logging_1382/klagomål/A 24104-2023 FSC-klagomål.docx", "A 24104-2023")</f>
        <v/>
      </c>
      <c r="AA9">
        <f>HYPERLINK("https://klasma.github.io/Logging_1382/klagomålsmail/A 24104-2023 FSC-klagomål mail.docx", "A 24104-2023")</f>
        <v/>
      </c>
      <c r="AB9">
        <f>HYPERLINK("https://klasma.github.io/Logging_1382/tillsyn/A 24104-2023 tillsynsbegäran.docx", "A 24104-2023")</f>
        <v/>
      </c>
      <c r="AC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46223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X10">
        <f>HYPERLINK("https://klasma.github.io/Logging_1382/kartor_geotiff/S 647-2024 georefererad karta.tif", "S 647-2024")</f>
        <v/>
      </c>
      <c r="Z10">
        <f>HYPERLINK("https://klasma.github.io/Logging_1382/klagomål/S 647-2024 FSC-klagomål.docx", "S 647-2024")</f>
        <v/>
      </c>
      <c r="AA10">
        <f>HYPERLINK("https://klasma.github.io/Logging_1382/klagomålsmail/S 647-2024 FSC-klagomål mail.docx", "S 647-2024")</f>
        <v/>
      </c>
      <c r="AB10">
        <f>HYPERLINK("https://klasma.github.io/Logging_1382/tillsyn/S 647-2024 tillsynsbegäran.docx", "S 647-2024")</f>
        <v/>
      </c>
      <c r="AC10">
        <f>HYPERLINK("https://klasma.github.io/Logging_1382/tillsynsmail/S 647-2024 tillsynsbegäran mail.docx", "S 647-2024")</f>
        <v/>
      </c>
      <c r="AD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46223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X11">
        <f>HYPERLINK("https://klasma.github.io/Logging_1382/kartor_geotiff/S 3285-2024 georefererad karta.tif", "S 3285-2024")</f>
        <v/>
      </c>
      <c r="Z11">
        <f>HYPERLINK("https://klasma.github.io/Logging_1382/klagomål/S 3285-2024 FSC-klagomål.docx", "S 3285-2024")</f>
        <v/>
      </c>
      <c r="AA11">
        <f>HYPERLINK("https://klasma.github.io/Logging_1382/klagomålsmail/S 3285-2024 FSC-klagomål mail.docx", "S 3285-2024")</f>
        <v/>
      </c>
      <c r="AB11">
        <f>HYPERLINK("https://klasma.github.io/Logging_1382/tillsyn/S 3285-2024 tillsynsbegäran.docx", "S 3285-2024")</f>
        <v/>
      </c>
      <c r="AC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46223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X12">
        <f>HYPERLINK("https://klasma.github.io/Logging_1382/kartor_geotiff/S 232-2025 georefererad karta.tif", "S 232-2025")</f>
        <v/>
      </c>
      <c r="Z12">
        <f>HYPERLINK("https://klasma.github.io/Logging_1382/klagomål/S 232-2025 FSC-klagomål.docx", "S 232-2025")</f>
        <v/>
      </c>
      <c r="AA12">
        <f>HYPERLINK("https://klasma.github.io/Logging_1382/klagomålsmail/S 232-2025 FSC-klagomål mail.docx", "S 232-2025")</f>
        <v/>
      </c>
      <c r="AB12">
        <f>HYPERLINK("https://klasma.github.io/Logging_1382/tillsyn/S 232-2025 tillsynsbegäran.docx", "S 232-2025")</f>
        <v/>
      </c>
      <c r="AC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46223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Gulnål
Platt fjädermossa</t>
        </is>
      </c>
      <c r="V13">
        <f>HYPERLINK("https://klasma.github.io/Logging_1382/artfynd/A 5758-2024 artfynd.xlsx", "A 5758-2024")</f>
        <v/>
      </c>
      <c r="W13">
        <f>HYPERLINK("https://klasma.github.io/Logging_1382/kartor/A 5758-2024 karta.png", "A 5758-2024")</f>
        <v/>
      </c>
      <c r="X13">
        <f>HYPERLINK("https://klasma.github.io/Logging_1382/kartor_geotiff/A 5758-2024 georefererad karta.tif", "A 5758-2024")</f>
        <v/>
      </c>
      <c r="Z13">
        <f>HYPERLINK("https://klasma.github.io/Logging_1382/klagomål/A 5758-2024 FSC-klagomål.docx", "A 5758-2024")</f>
        <v/>
      </c>
      <c r="AA13">
        <f>HYPERLINK("https://klasma.github.io/Logging_1382/klagomålsmail/A 5758-2024 FSC-klagomål mail.docx", "A 5758-2024")</f>
        <v/>
      </c>
      <c r="AB13">
        <f>HYPERLINK("https://klasma.github.io/Logging_1382/tillsyn/A 5758-2024 tillsynsbegäran.docx", "A 5758-2024")</f>
        <v/>
      </c>
      <c r="AC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46223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Vedlavklubba
Skuggmossa</t>
        </is>
      </c>
      <c r="V14">
        <f>HYPERLINK("https://klasma.github.io/Logging_1382/artfynd/A 9328-2022 artfynd.xlsx", "A 9328-2022")</f>
        <v/>
      </c>
      <c r="W14">
        <f>HYPERLINK("https://klasma.github.io/Logging_1382/kartor/A 9328-2022 karta.png", "A 9328-2022")</f>
        <v/>
      </c>
      <c r="X14">
        <f>HYPERLINK("https://klasma.github.io/Logging_1382/kartor_geotiff/A 9328-2022 georefererad karta.tif", "A 9328-2022")</f>
        <v/>
      </c>
      <c r="Z14">
        <f>HYPERLINK("https://klasma.github.io/Logging_1382/klagomål/A 9328-2022 FSC-klagomål.docx", "A 9328-2022")</f>
        <v/>
      </c>
      <c r="AA14">
        <f>HYPERLINK("https://klasma.github.io/Logging_1382/klagomålsmail/A 9328-2022 FSC-klagomål mail.docx", "A 9328-2022")</f>
        <v/>
      </c>
      <c r="AB14">
        <f>HYPERLINK("https://klasma.github.io/Logging_1382/tillsyn/A 9328-2022 tillsynsbegäran.docx", "A 9328-2022")</f>
        <v/>
      </c>
      <c r="AC14">
        <f>HYPERLINK("https://klasma.github.io/Logging_1382/tillsynsmail/A 9328-2022 tillsynsbegäran mail.docx", "A 9328-2022")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46223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s="2" t="inlineStr">
        <is>
          <t>Flytsvalting
Revlummer</t>
        </is>
      </c>
      <c r="V15">
        <f>HYPERLINK("https://klasma.github.io/Logging_1382/artfynd/A 50273-2024 artfynd.xlsx", "A 50273-2024")</f>
        <v/>
      </c>
      <c r="W15">
        <f>HYPERLINK("https://klasma.github.io/Logging_1382/kartor/A 50273-2024 karta.png", "A 50273-2024")</f>
        <v/>
      </c>
      <c r="X15">
        <f>HYPERLINK("https://klasma.github.io/Logging_1382/kartor_geotiff/A 50273-2024 georefererad karta.tif", "A 50273-2024")</f>
        <v/>
      </c>
      <c r="Z15">
        <f>HYPERLINK("https://klasma.github.io/Logging_1382/klagomål/A 50273-2024 FSC-klagomål.docx", "A 50273-2024")</f>
        <v/>
      </c>
      <c r="AA15">
        <f>HYPERLINK("https://klasma.github.io/Logging_1382/klagomålsmail/A 50273-2024 FSC-klagomål mail.docx", "A 50273-2024")</f>
        <v/>
      </c>
      <c r="AB15">
        <f>HYPERLINK("https://klasma.github.io/Logging_1382/tillsyn/A 50273-2024 tillsynsbegäran.docx", "A 50273-2024")</f>
        <v/>
      </c>
      <c r="AC15">
        <f>HYPERLINK("https://klasma.github.io/Logging_1382/tillsynsmail/A 50273-2024 tillsynsbegäran mail.docx", "A 50273-2024")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46223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Grå skärelav
Rostfläck</t>
        </is>
      </c>
      <c r="V16">
        <f>HYPERLINK("https://klasma.github.io/Logging_1382/artfynd/A 23928-2025 artfynd.xlsx", "A 23928-2025")</f>
        <v/>
      </c>
      <c r="W16">
        <f>HYPERLINK("https://klasma.github.io/Logging_1382/kartor/A 23928-2025 karta.png", "A 23928-2025")</f>
        <v/>
      </c>
      <c r="X16">
        <f>HYPERLINK("https://klasma.github.io/Logging_1382/kartor_geotiff/A 23928-2025 georefererad karta.tif", "A 23928-2025")</f>
        <v/>
      </c>
      <c r="Z16">
        <f>HYPERLINK("https://klasma.github.io/Logging_1382/klagomål/A 23928-2025 FSC-klagomål.docx", "A 23928-2025")</f>
        <v/>
      </c>
      <c r="AA16">
        <f>HYPERLINK("https://klasma.github.io/Logging_1382/klagomålsmail/A 23928-2025 FSC-klagomål mail.docx", "A 23928-2025")</f>
        <v/>
      </c>
      <c r="AB16">
        <f>HYPERLINK("https://klasma.github.io/Logging_1382/tillsyn/A 23928-2025 tillsynsbegäran.docx", "A 23928-2025")</f>
        <v/>
      </c>
      <c r="AC16">
        <f>HYPERLINK("https://klasma.github.io/Logging_1382/tillsynsmail/A 23928-2025 tillsynsbegäran mail.docx", "A 23928-2025")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46223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s="2" t="inlineStr">
        <is>
          <t>Tjäder
Revlummer</t>
        </is>
      </c>
      <c r="V17">
        <f>HYPERLINK("https://klasma.github.io/Logging_1382/artfynd/A 24055-2024 artfynd.xlsx", "A 24055-2024")</f>
        <v/>
      </c>
      <c r="W17">
        <f>HYPERLINK("https://klasma.github.io/Logging_1382/kartor/A 24055-2024 karta.png", "A 24055-2024")</f>
        <v/>
      </c>
      <c r="X17">
        <f>HYPERLINK("https://klasma.github.io/Logging_1382/kartor_geotiff/A 24055-2024 georefererad karta.tif", "A 24055-2024")</f>
        <v/>
      </c>
      <c r="Z17">
        <f>HYPERLINK("https://klasma.github.io/Logging_1382/klagomål/A 24055-2024 FSC-klagomål.docx", "A 24055-2024")</f>
        <v/>
      </c>
      <c r="AA17">
        <f>HYPERLINK("https://klasma.github.io/Logging_1382/klagomålsmail/A 24055-2024 FSC-klagomål mail.docx", "A 24055-2024")</f>
        <v/>
      </c>
      <c r="AB17">
        <f>HYPERLINK("https://klasma.github.io/Logging_1382/tillsyn/A 24055-2024 tillsynsbegäran.docx", "A 24055-2024")</f>
        <v/>
      </c>
      <c r="AC17">
        <f>HYPERLINK("https://klasma.github.io/Logging_1382/tillsynsmail/A 24055-2024 tillsynsbegäran mail.docx", "A 24055-2024")</f>
        <v/>
      </c>
      <c r="AD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46223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Platt fjädermossa
Trädporella</t>
        </is>
      </c>
      <c r="V18">
        <f>HYPERLINK("https://klasma.github.io/Logging_1382/artfynd/A 71731-2021 artfynd.xlsx", "A 71731-2021")</f>
        <v/>
      </c>
      <c r="W18">
        <f>HYPERLINK("https://klasma.github.io/Logging_1382/kartor/A 71731-2021 karta.png", "A 71731-2021")</f>
        <v/>
      </c>
      <c r="X18">
        <f>HYPERLINK("https://klasma.github.io/Logging_1382/kartor_geotiff/A 71731-2021 georefererad karta.tif", "A 71731-2021")</f>
        <v/>
      </c>
      <c r="Z18">
        <f>HYPERLINK("https://klasma.github.io/Logging_1382/klagomål/A 71731-2021 FSC-klagomål.docx", "A 71731-2021")</f>
        <v/>
      </c>
      <c r="AA18">
        <f>HYPERLINK("https://klasma.github.io/Logging_1382/klagomålsmail/A 71731-2021 FSC-klagomål mail.docx", "A 71731-2021")</f>
        <v/>
      </c>
      <c r="AB18">
        <f>HYPERLINK("https://klasma.github.io/Logging_1382/tillsyn/A 71731-2021 tillsynsbegäran.docx", "A 71731-2021")</f>
        <v/>
      </c>
      <c r="AC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46223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Bokvårtlav
Platt fjädermossa</t>
        </is>
      </c>
      <c r="V19">
        <f>HYPERLINK("https://klasma.github.io/Logging_1382/artfynd/A 20935-2026 artfynd.xlsx", "A 20935-2026")</f>
        <v/>
      </c>
      <c r="W19">
        <f>HYPERLINK("https://klasma.github.io/Logging_1382/kartor/A 20935-2026 karta.png", "A 20935-2026")</f>
        <v/>
      </c>
      <c r="X19">
        <f>HYPERLINK("https://klasma.github.io/Logging_1382/kartor_geotiff/A 20935-2026 georefererad karta.tif", "A 20935-2026")</f>
        <v/>
      </c>
      <c r="Z19">
        <f>HYPERLINK("https://klasma.github.io/Logging_1382/klagomål/A 20935-2026 FSC-klagomål.docx", "A 20935-2026")</f>
        <v/>
      </c>
      <c r="AA19">
        <f>HYPERLINK("https://klasma.github.io/Logging_1382/klagomålsmail/A 20935-2026 FSC-klagomål mail.docx", "A 20935-2026")</f>
        <v/>
      </c>
      <c r="AB19">
        <f>HYPERLINK("https://klasma.github.io/Logging_1382/tillsyn/A 20935-2026 tillsynsbegäran.docx", "A 20935-2026")</f>
        <v/>
      </c>
      <c r="AC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46223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X20">
        <f>HYPERLINK("https://klasma.github.io/Logging_1382/kartor_geotiff/S 644-2024 georefererad karta.tif", "S 644-2024")</f>
        <v/>
      </c>
      <c r="Z20">
        <f>HYPERLINK("https://klasma.github.io/Logging_1382/klagomål/S 644-2024 FSC-klagomål.docx", "S 644-2024")</f>
        <v/>
      </c>
      <c r="AA20">
        <f>HYPERLINK("https://klasma.github.io/Logging_1382/klagomålsmail/S 644-2024 FSC-klagomål mail.docx", "S 644-2024")</f>
        <v/>
      </c>
      <c r="AB20">
        <f>HYPERLINK("https://klasma.github.io/Logging_1382/tillsyn/S 644-2024 tillsynsbegäran.docx", "S 644-2024")</f>
        <v/>
      </c>
      <c r="AC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46223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X21">
        <f>HYPERLINK("https://klasma.github.io/Logging_1382/kartor_geotiff/S 5114-2022 georefererad karta.tif", "S 5114-2022")</f>
        <v/>
      </c>
      <c r="Z21">
        <f>HYPERLINK("https://klasma.github.io/Logging_1382/klagomål/S 5114-2022 FSC-klagomål.docx", "S 5114-2022")</f>
        <v/>
      </c>
      <c r="AA21">
        <f>HYPERLINK("https://klasma.github.io/Logging_1382/klagomålsmail/S 5114-2022 FSC-klagomål mail.docx", "S 5114-2022")</f>
        <v/>
      </c>
      <c r="AB21">
        <f>HYPERLINK("https://klasma.github.io/Logging_1382/tillsyn/S 5114-2022 tillsynsbegäran.docx", "S 5114-2022")</f>
        <v/>
      </c>
      <c r="AC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46223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X22">
        <f>HYPERLINK("https://klasma.github.io/Logging_1382/kartor_geotiff/S 8972-2021 georefererad karta.tif", "S 8972-2021")</f>
        <v/>
      </c>
      <c r="Z22">
        <f>HYPERLINK("https://klasma.github.io/Logging_1382/klagomål/S 8972-2021 FSC-klagomål.docx", "S 8972-2021")</f>
        <v/>
      </c>
      <c r="AA22">
        <f>HYPERLINK("https://klasma.github.io/Logging_1382/klagomålsmail/S 8972-2021 FSC-klagomål mail.docx", "S 8972-2021")</f>
        <v/>
      </c>
      <c r="AB22">
        <f>HYPERLINK("https://klasma.github.io/Logging_1382/tillsyn/S 8972-2021 tillsynsbegäran.docx", "S 8972-2021")</f>
        <v/>
      </c>
      <c r="AC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46223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X23">
        <f>HYPERLINK("https://klasma.github.io/Logging_1382/kartor_geotiff/A 50998-2021 georefererad karta.tif", "A 50998-2021")</f>
        <v/>
      </c>
      <c r="Z23">
        <f>HYPERLINK("https://klasma.github.io/Logging_1382/klagomål/A 50998-2021 FSC-klagomål.docx", "A 50998-2021")</f>
        <v/>
      </c>
      <c r="AA23">
        <f>HYPERLINK("https://klasma.github.io/Logging_1382/klagomålsmail/A 50998-2021 FSC-klagomål mail.docx", "A 50998-2021")</f>
        <v/>
      </c>
      <c r="AB23">
        <f>HYPERLINK("https://klasma.github.io/Logging_1382/tillsyn/A 50998-2021 tillsynsbegäran.docx", "A 50998-2021")</f>
        <v/>
      </c>
      <c r="AC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46223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X24">
        <f>HYPERLINK("https://klasma.github.io/Logging_1382/kartor_geotiff/A 44540-2021 georefererad karta.tif", "A 44540-2021")</f>
        <v/>
      </c>
      <c r="Z24">
        <f>HYPERLINK("https://klasma.github.io/Logging_1382/klagomål/A 44540-2021 FSC-klagomål.docx", "A 44540-2021")</f>
        <v/>
      </c>
      <c r="AA24">
        <f>HYPERLINK("https://klasma.github.io/Logging_1382/klagomålsmail/A 44540-2021 FSC-klagomål mail.docx", "A 44540-2021")</f>
        <v/>
      </c>
      <c r="AB24">
        <f>HYPERLINK("https://klasma.github.io/Logging_1382/tillsyn/A 44540-2021 tillsynsbegäran.docx", "A 44540-2021")</f>
        <v/>
      </c>
      <c r="AC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46223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X25">
        <f>HYPERLINK("https://klasma.github.io/Logging_1382/kartor_geotiff/A 66137-2021 georefererad karta.tif", "A 66137-2021")</f>
        <v/>
      </c>
      <c r="Z25">
        <f>HYPERLINK("https://klasma.github.io/Logging_1382/klagomål/A 66137-2021 FSC-klagomål.docx", "A 66137-2021")</f>
        <v/>
      </c>
      <c r="AA25">
        <f>HYPERLINK("https://klasma.github.io/Logging_1382/klagomålsmail/A 66137-2021 FSC-klagomål mail.docx", "A 66137-2021")</f>
        <v/>
      </c>
      <c r="AB25">
        <f>HYPERLINK("https://klasma.github.io/Logging_1382/tillsyn/A 66137-2021 tillsynsbegäran.docx", "A 66137-2021")</f>
        <v/>
      </c>
      <c r="AC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46223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Röd glada</t>
        </is>
      </c>
      <c r="V26">
        <f>HYPERLINK("https://klasma.github.io/Logging_1382/artfynd/A 42551-2024 artfynd.xlsx", "A 42551-2024")</f>
        <v/>
      </c>
      <c r="W26">
        <f>HYPERLINK("https://klasma.github.io/Logging_1382/kartor/A 42551-2024 karta.png", "A 42551-2024")</f>
        <v/>
      </c>
      <c r="X26">
        <f>HYPERLINK("https://klasma.github.io/Logging_1382/kartor_geotiff/A 42551-2024 georefererad karta.tif", "A 42551-2024")</f>
        <v/>
      </c>
      <c r="Z26">
        <f>HYPERLINK("https://klasma.github.io/Logging_1382/klagomål/A 42551-2024 FSC-klagomål.docx", "A 42551-2024")</f>
        <v/>
      </c>
      <c r="AA26">
        <f>HYPERLINK("https://klasma.github.io/Logging_1382/klagomålsmail/A 42551-2024 FSC-klagomål mail.docx", "A 42551-2024")</f>
        <v/>
      </c>
      <c r="AB26">
        <f>HYPERLINK("https://klasma.github.io/Logging_1382/tillsyn/A 42551-2024 tillsynsbegäran.docx", "A 42551-2024")</f>
        <v/>
      </c>
      <c r="AC26">
        <f>HYPERLINK("https://klasma.github.io/Logging_1382/tillsynsmail/A 42551-2024 tillsynsbegäran mail.docx", "A 42551-2024")</f>
        <v/>
      </c>
      <c r="AD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46223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X27">
        <f>HYPERLINK("https://klasma.github.io/Logging_1382/kartor_geotiff/A 3062-2023 georefererad karta.tif", "A 3062-2023")</f>
        <v/>
      </c>
      <c r="Z27">
        <f>HYPERLINK("https://klasma.github.io/Logging_1382/klagomål/A 3062-2023 FSC-klagomål.docx", "A 3062-2023")</f>
        <v/>
      </c>
      <c r="AA27">
        <f>HYPERLINK("https://klasma.github.io/Logging_1382/klagomålsmail/A 3062-2023 FSC-klagomål mail.docx", "A 3062-2023")</f>
        <v/>
      </c>
      <c r="AB27">
        <f>HYPERLINK("https://klasma.github.io/Logging_1382/tillsyn/A 3062-2023 tillsynsbegäran.docx", "A 3062-2023")</f>
        <v/>
      </c>
      <c r="AC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46223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Stjärnstarr</t>
        </is>
      </c>
      <c r="V28">
        <f>HYPERLINK("https://klasma.github.io/Logging_1382/artfynd/A 62755-2022 artfynd.xlsx", "A 62755-2022")</f>
        <v/>
      </c>
      <c r="W28">
        <f>HYPERLINK("https://klasma.github.io/Logging_1382/kartor/A 62755-2022 karta.png", "A 62755-2022")</f>
        <v/>
      </c>
      <c r="X28">
        <f>HYPERLINK("https://klasma.github.io/Logging_1382/kartor_geotiff/A 62755-2022 georefererad karta.tif", "A 62755-2022")</f>
        <v/>
      </c>
      <c r="Z28">
        <f>HYPERLINK("https://klasma.github.io/Logging_1382/klagomål/A 62755-2022 FSC-klagomål.docx", "A 62755-2022")</f>
        <v/>
      </c>
      <c r="AA28">
        <f>HYPERLINK("https://klasma.github.io/Logging_1382/klagomålsmail/A 62755-2022 FSC-klagomål mail.docx", "A 62755-2022")</f>
        <v/>
      </c>
      <c r="AB28">
        <f>HYPERLINK("https://klasma.github.io/Logging_1382/tillsyn/A 62755-2022 tillsynsbegäran.docx", "A 62755-2022")</f>
        <v/>
      </c>
      <c r="AC28">
        <f>HYPERLINK("https://klasma.github.io/Logging_1382/tillsynsmail/A 62755-2022 tillsynsbegäran mail.docx", "A 62755-2022")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46223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HYPERLINK("https://klasma.github.io/Logging_1382/artfynd/A 43912-2025 artfynd.xlsx", "A 43912-2025")</f>
        <v/>
      </c>
      <c r="W29">
        <f>HYPERLINK("https://klasma.github.io/Logging_1382/kartor/A 43912-2025 karta.png", "A 43912-2025")</f>
        <v/>
      </c>
      <c r="X29">
        <f>HYPERLINK("https://klasma.github.io/Logging_1382/kartor_geotiff/A 43912-2025 georefererad karta.tif", "A 43912-2025")</f>
        <v/>
      </c>
      <c r="Z29">
        <f>HYPERLINK("https://klasma.github.io/Logging_1382/klagomål/A 43912-2025 FSC-klagomål.docx", "A 43912-2025")</f>
        <v/>
      </c>
      <c r="AA29">
        <f>HYPERLINK("https://klasma.github.io/Logging_1382/klagomålsmail/A 43912-2025 FSC-klagomål mail.docx", "A 43912-2025")</f>
        <v/>
      </c>
      <c r="AB29">
        <f>HYPERLINK("https://klasma.github.io/Logging_1382/tillsyn/A 43912-2025 tillsynsbegäran.docx", "A 43912-2025")</f>
        <v/>
      </c>
      <c r="AC29">
        <f>HYPERLINK("https://klasma.github.io/Logging_1382/tillsynsmail/A 43912-2025 tillsynsbegäran mail.docx", "A 43912-2025")</f>
        <v/>
      </c>
    </row>
    <row r="30" ht="15" customHeight="1">
      <c r="A30" t="inlineStr">
        <is>
          <t>A 45977-2024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46223</v>
      </c>
      <c r="F30" t="inlineStr">
        <is>
          <t>HALLANDS LÄN</t>
        </is>
      </c>
      <c r="G30" t="inlineStr">
        <is>
          <t>FALKENBERG</t>
        </is>
      </c>
      <c r="I30" t="n">
        <v>0.9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Lax</t>
        </is>
      </c>
      <c r="V30">
        <f>HYPERLINK("https://klasma.github.io/Logging_1382/artfynd/A 45977-2024 artfynd.xlsx", "A 45977-2024")</f>
        <v/>
      </c>
      <c r="W30">
        <f>HYPERLINK("https://klasma.github.io/Logging_1382/kartor/A 45977-2024 karta.png", "A 45977-2024")</f>
        <v/>
      </c>
      <c r="X30">
        <f>HYPERLINK("https://klasma.github.io/Logging_1382/kartor_geotiff/A 45977-2024 georefererad karta.tif", "A 45977-2024")</f>
        <v/>
      </c>
      <c r="Z30">
        <f>HYPERLINK("https://klasma.github.io/Logging_1382/klagomål/A 45977-2024 FSC-klagomål.docx", "A 45977-2024")</f>
        <v/>
      </c>
      <c r="AA30">
        <f>HYPERLINK("https://klasma.github.io/Logging_1382/klagomålsmail/A 45977-2024 FSC-klagomål mail.docx", "A 45977-2024")</f>
        <v/>
      </c>
      <c r="AB30">
        <f>HYPERLINK("https://klasma.github.io/Logging_1382/tillsyn/A 45977-2024 tillsynsbegäran.docx", "A 45977-2024")</f>
        <v/>
      </c>
      <c r="AC30">
        <f>HYPERLINK("https://klasma.github.io/Logging_1382/tillsynsmail/A 45977-2024 tillsynsbegäran mail.docx", "A 45977-2024")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46223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Röd glada</t>
        </is>
      </c>
      <c r="V31">
        <f>HYPERLINK("https://klasma.github.io/Logging_1382/artfynd/A 8483-2024 artfynd.xlsx", "A 8483-2024")</f>
        <v/>
      </c>
      <c r="W31">
        <f>HYPERLINK("https://klasma.github.io/Logging_1382/kartor/A 8483-2024 karta.png", "A 8483-2024")</f>
        <v/>
      </c>
      <c r="X31">
        <f>HYPERLINK("https://klasma.github.io/Logging_1382/kartor_geotiff/A 8483-2024 georefererad karta.tif", "A 8483-2024")</f>
        <v/>
      </c>
      <c r="Z31">
        <f>HYPERLINK("https://klasma.github.io/Logging_1382/klagomål/A 8483-2024 FSC-klagomål.docx", "A 8483-2024")</f>
        <v/>
      </c>
      <c r="AA31">
        <f>HYPERLINK("https://klasma.github.io/Logging_1382/klagomålsmail/A 8483-2024 FSC-klagomål mail.docx", "A 8483-2024")</f>
        <v/>
      </c>
      <c r="AB31">
        <f>HYPERLINK("https://klasma.github.io/Logging_1382/tillsyn/A 8483-2024 tillsynsbegäran.docx", "A 8483-2024")</f>
        <v/>
      </c>
      <c r="AC31">
        <f>HYPERLINK("https://klasma.github.io/Logging_1382/tillsynsmail/A 8483-2024 tillsynsbegäran mail.docx", "A 8483-2024")</f>
        <v/>
      </c>
      <c r="AD31">
        <f>HYPERLINK("https://klasma.github.io/Logging_1382/fåglar/A 8483-2024 prioriterade fågelarter.docx", "A 8483-2024")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46223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Hårginst</t>
        </is>
      </c>
      <c r="V32">
        <f>HYPERLINK("https://klasma.github.io/Logging_1382/artfynd/A 63130-2023 artfynd.xlsx", "A 63130-2023")</f>
        <v/>
      </c>
      <c r="W32">
        <f>HYPERLINK("https://klasma.github.io/Logging_1382/kartor/A 63130-2023 karta.png", "A 63130-2023")</f>
        <v/>
      </c>
      <c r="X32">
        <f>HYPERLINK("https://klasma.github.io/Logging_1382/kartor_geotiff/A 63130-2023 georefererad karta.tif", "A 63130-2023")</f>
        <v/>
      </c>
      <c r="Z32">
        <f>HYPERLINK("https://klasma.github.io/Logging_1382/klagomål/A 63130-2023 FSC-klagomål.docx", "A 63130-2023")</f>
        <v/>
      </c>
      <c r="AA32">
        <f>HYPERLINK("https://klasma.github.io/Logging_1382/klagomålsmail/A 63130-2023 FSC-klagomål mail.docx", "A 63130-2023")</f>
        <v/>
      </c>
      <c r="AB32">
        <f>HYPERLINK("https://klasma.github.io/Logging_1382/tillsyn/A 63130-2023 tillsynsbegäran.docx", "A 63130-2023")</f>
        <v/>
      </c>
      <c r="AC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46223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HYPERLINK("https://klasma.github.io/Logging_1382/artfynd/A 21814-2023 artfynd.xlsx", "A 21814-2023")</f>
        <v/>
      </c>
      <c r="W33">
        <f>HYPERLINK("https://klasma.github.io/Logging_1382/kartor/A 21814-2023 karta.png", "A 21814-2023")</f>
        <v/>
      </c>
      <c r="X33">
        <f>HYPERLINK("https://klasma.github.io/Logging_1382/kartor_geotiff/A 21814-2023 georefererad karta.tif", "A 21814-2023")</f>
        <v/>
      </c>
      <c r="Z33">
        <f>HYPERLINK("https://klasma.github.io/Logging_1382/klagomål/A 21814-2023 FSC-klagomål.docx", "A 21814-2023")</f>
        <v/>
      </c>
      <c r="AA33">
        <f>HYPERLINK("https://klasma.github.io/Logging_1382/klagomålsmail/A 21814-2023 FSC-klagomål mail.docx", "A 21814-2023")</f>
        <v/>
      </c>
      <c r="AB33">
        <f>HYPERLINK("https://klasma.github.io/Logging_1382/tillsyn/A 21814-2023 tillsynsbegäran.docx", "A 21814-2023")</f>
        <v/>
      </c>
      <c r="AC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46223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Myskbock</t>
        </is>
      </c>
      <c r="V34">
        <f>HYPERLINK("https://klasma.github.io/Logging_1382/artfynd/A 63247-2023 artfynd.xlsx", "A 63247-2023")</f>
        <v/>
      </c>
      <c r="W34">
        <f>HYPERLINK("https://klasma.github.io/Logging_1382/kartor/A 63247-2023 karta.png", "A 63247-2023")</f>
        <v/>
      </c>
      <c r="X34">
        <f>HYPERLINK("https://klasma.github.io/Logging_1382/kartor_geotiff/A 63247-2023 georefererad karta.tif", "A 63247-2023")</f>
        <v/>
      </c>
      <c r="Z34">
        <f>HYPERLINK("https://klasma.github.io/Logging_1382/klagomål/A 63247-2023 FSC-klagomål.docx", "A 63247-2023")</f>
        <v/>
      </c>
      <c r="AA34">
        <f>HYPERLINK("https://klasma.github.io/Logging_1382/klagomålsmail/A 63247-2023 FSC-klagomål mail.docx", "A 63247-2023")</f>
        <v/>
      </c>
      <c r="AB34">
        <f>HYPERLINK("https://klasma.github.io/Logging_1382/tillsyn/A 63247-2023 tillsynsbegäran.docx", "A 63247-2023")</f>
        <v/>
      </c>
      <c r="AC34">
        <f>HYPERLINK("https://klasma.github.io/Logging_1382/tillsynsmail/A 63247-2023 tillsynsbegäran mail.docx", "A 63247-2023")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46223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HYPERLINK("https://klasma.github.io/Logging_1382/artfynd/A 50078-2024 artfynd.xlsx", "A 50078-2024")</f>
        <v/>
      </c>
      <c r="W35">
        <f>HYPERLINK("https://klasma.github.io/Logging_1382/kartor/A 50078-2024 karta.png", "A 50078-2024")</f>
        <v/>
      </c>
      <c r="X35">
        <f>HYPERLINK("https://klasma.github.io/Logging_1382/kartor_geotiff/A 50078-2024 georefererad karta.tif", "A 50078-2024")</f>
        <v/>
      </c>
      <c r="Z35">
        <f>HYPERLINK("https://klasma.github.io/Logging_1382/klagomål/A 50078-2024 FSC-klagomål.docx", "A 50078-2024")</f>
        <v/>
      </c>
      <c r="AA35">
        <f>HYPERLINK("https://klasma.github.io/Logging_1382/klagomålsmail/A 50078-2024 FSC-klagomål mail.docx", "A 50078-2024")</f>
        <v/>
      </c>
      <c r="AB35">
        <f>HYPERLINK("https://klasma.github.io/Logging_1382/tillsyn/A 50078-2024 tillsynsbegäran.docx", "A 50078-2024")</f>
        <v/>
      </c>
      <c r="AC35">
        <f>HYPERLINK("https://klasma.github.io/Logging_1382/tillsynsmail/A 50078-2024 tillsynsbegäran mail.docx", "A 50078-2024")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46223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Utter</t>
        </is>
      </c>
      <c r="V36">
        <f>HYPERLINK("https://klasma.github.io/Logging_1382/artfynd/A 7696-2023 artfynd.xlsx", "A 7696-2023")</f>
        <v/>
      </c>
      <c r="W36">
        <f>HYPERLINK("https://klasma.github.io/Logging_1382/kartor/A 7696-2023 karta.png", "A 7696-2023")</f>
        <v/>
      </c>
      <c r="X36">
        <f>HYPERLINK("https://klasma.github.io/Logging_1382/kartor_geotiff/A 7696-2023 georefererad karta.tif", "A 7696-2023")</f>
        <v/>
      </c>
      <c r="Z36">
        <f>HYPERLINK("https://klasma.github.io/Logging_1382/klagomål/A 7696-2023 FSC-klagomål.docx", "A 7696-2023")</f>
        <v/>
      </c>
      <c r="AA36">
        <f>HYPERLINK("https://klasma.github.io/Logging_1382/klagomålsmail/A 7696-2023 FSC-klagomål mail.docx", "A 7696-2023")</f>
        <v/>
      </c>
      <c r="AB36">
        <f>HYPERLINK("https://klasma.github.io/Logging_1382/tillsyn/A 7696-2023 tillsynsbegäran.docx", "A 7696-2023")</f>
        <v/>
      </c>
      <c r="AC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46223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Kopparödla</t>
        </is>
      </c>
      <c r="V37">
        <f>HYPERLINK("https://klasma.github.io/Logging_1382/artfynd/A 55880-2023 artfynd.xlsx", "A 55880-2023")</f>
        <v/>
      </c>
      <c r="W37">
        <f>HYPERLINK("https://klasma.github.io/Logging_1382/kartor/A 55880-2023 karta.png", "A 55880-2023")</f>
        <v/>
      </c>
      <c r="X37">
        <f>HYPERLINK("https://klasma.github.io/Logging_1382/kartor_geotiff/A 55880-2023 georefererad karta.tif", "A 55880-2023")</f>
        <v/>
      </c>
      <c r="Z37">
        <f>HYPERLINK("https://klasma.github.io/Logging_1382/klagomål/A 55880-2023 FSC-klagomål.docx", "A 55880-2023")</f>
        <v/>
      </c>
      <c r="AA37">
        <f>HYPERLINK("https://klasma.github.io/Logging_1382/klagomålsmail/A 55880-2023 FSC-klagomål mail.docx", "A 55880-2023")</f>
        <v/>
      </c>
      <c r="AB37">
        <f>HYPERLINK("https://klasma.github.io/Logging_1382/tillsyn/A 55880-2023 tillsynsbegäran.docx", "A 55880-2023")</f>
        <v/>
      </c>
      <c r="AC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46223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X38">
        <f>HYPERLINK("https://klasma.github.io/Logging_1382/kartor_geotiff/A 58534-2022 georefererad karta.tif", "A 58534-2022")</f>
        <v/>
      </c>
      <c r="Z38">
        <f>HYPERLINK("https://klasma.github.io/Logging_1382/klagomål/A 58534-2022 FSC-klagomål.docx", "A 58534-2022")</f>
        <v/>
      </c>
      <c r="AA38">
        <f>HYPERLINK("https://klasma.github.io/Logging_1382/klagomålsmail/A 58534-2022 FSC-klagomål mail.docx", "A 58534-2022")</f>
        <v/>
      </c>
      <c r="AB38">
        <f>HYPERLINK("https://klasma.github.io/Logging_1382/tillsyn/A 58534-2022 tillsynsbegäran.docx", "A 58534-2022")</f>
        <v/>
      </c>
      <c r="AC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46223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Korallrot</t>
        </is>
      </c>
      <c r="V39">
        <f>HYPERLINK("https://klasma.github.io/Logging_1382/artfynd/A 41802-2024 artfynd.xlsx", "A 41802-2024")</f>
        <v/>
      </c>
      <c r="W39">
        <f>HYPERLINK("https://klasma.github.io/Logging_1382/kartor/A 41802-2024 karta.png", "A 41802-2024")</f>
        <v/>
      </c>
      <c r="X39">
        <f>HYPERLINK("https://klasma.github.io/Logging_1382/kartor_geotiff/A 41802-2024 georefererad karta.tif", "A 41802-2024")</f>
        <v/>
      </c>
      <c r="Z39">
        <f>HYPERLINK("https://klasma.github.io/Logging_1382/klagomål/A 41802-2024 FSC-klagomål.docx", "A 41802-2024")</f>
        <v/>
      </c>
      <c r="AA39">
        <f>HYPERLINK("https://klasma.github.io/Logging_1382/klagomålsmail/A 41802-2024 FSC-klagomål mail.docx", "A 41802-2024")</f>
        <v/>
      </c>
      <c r="AB39">
        <f>HYPERLINK("https://klasma.github.io/Logging_1382/tillsyn/A 41802-2024 tillsynsbegäran.docx", "A 41802-2024")</f>
        <v/>
      </c>
      <c r="AC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46223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Loppstarr</t>
        </is>
      </c>
      <c r="V40">
        <f>HYPERLINK("https://klasma.github.io/Logging_1382/artfynd/A 46059-2023 artfynd.xlsx", "A 46059-2023")</f>
        <v/>
      </c>
      <c r="W40">
        <f>HYPERLINK("https://klasma.github.io/Logging_1382/kartor/A 46059-2023 karta.png", "A 46059-2023")</f>
        <v/>
      </c>
      <c r="X40">
        <f>HYPERLINK("https://klasma.github.io/Logging_1382/kartor_geotiff/A 46059-2023 georefererad karta.tif", "A 46059-2023")</f>
        <v/>
      </c>
      <c r="Z40">
        <f>HYPERLINK("https://klasma.github.io/Logging_1382/klagomål/A 46059-2023 FSC-klagomål.docx", "A 46059-2023")</f>
        <v/>
      </c>
      <c r="AA40">
        <f>HYPERLINK("https://klasma.github.io/Logging_1382/klagomålsmail/A 46059-2023 FSC-klagomål mail.docx", "A 46059-2023")</f>
        <v/>
      </c>
      <c r="AB40">
        <f>HYPERLINK("https://klasma.github.io/Logging_1382/tillsyn/A 46059-2023 tillsynsbegäran.docx", "A 46059-2023")</f>
        <v/>
      </c>
      <c r="AC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46223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Kambräken</t>
        </is>
      </c>
      <c r="V41">
        <f>HYPERLINK("https://klasma.github.io/Logging_1382/artfynd/A 1274-2025 artfynd.xlsx", "A 1274-2025")</f>
        <v/>
      </c>
      <c r="W41">
        <f>HYPERLINK("https://klasma.github.io/Logging_1382/kartor/A 1274-2025 karta.png", "A 1274-2025")</f>
        <v/>
      </c>
      <c r="X41">
        <f>HYPERLINK("https://klasma.github.io/Logging_1382/kartor_geotiff/A 1274-2025 georefererad karta.tif", "A 1274-2025")</f>
        <v/>
      </c>
      <c r="Z41">
        <f>HYPERLINK("https://klasma.github.io/Logging_1382/klagomål/A 1274-2025 FSC-klagomål.docx", "A 1274-2025")</f>
        <v/>
      </c>
      <c r="AA41">
        <f>HYPERLINK("https://klasma.github.io/Logging_1382/klagomålsmail/A 1274-2025 FSC-klagomål mail.docx", "A 1274-2025")</f>
        <v/>
      </c>
      <c r="AB41">
        <f>HYPERLINK("https://klasma.github.io/Logging_1382/tillsyn/A 1274-2025 tillsynsbegäran.docx", "A 1274-2025")</f>
        <v/>
      </c>
      <c r="AC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46223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Rostfläck</t>
        </is>
      </c>
      <c r="V42">
        <f>HYPERLINK("https://klasma.github.io/Logging_1382/artfynd/S 2755-2022 artfynd.xlsx", "S 2755-2022")</f>
        <v/>
      </c>
      <c r="W42">
        <f>HYPERLINK("https://klasma.github.io/Logging_1382/kartor/S 2755-2022 karta.png", "S 2755-2022")</f>
        <v/>
      </c>
      <c r="X42">
        <f>HYPERLINK("https://klasma.github.io/Logging_1382/kartor_geotiff/S 2755-2022 georefererad karta.tif", "S 2755-2022")</f>
        <v/>
      </c>
      <c r="Z42">
        <f>HYPERLINK("https://klasma.github.io/Logging_1382/klagomål/S 2755-2022 FSC-klagomål.docx", "S 2755-2022")</f>
        <v/>
      </c>
      <c r="AA42">
        <f>HYPERLINK("https://klasma.github.io/Logging_1382/klagomålsmail/S 2755-2022 FSC-klagomål mail.docx", "S 2755-2022")</f>
        <v/>
      </c>
      <c r="AB42">
        <f>HYPERLINK("https://klasma.github.io/Logging_1382/tillsyn/S 2755-2022 tillsynsbegäran.docx", "S 2755-2022")</f>
        <v/>
      </c>
      <c r="AC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46223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Vildris</t>
        </is>
      </c>
      <c r="V43">
        <f>HYPERLINK("https://klasma.github.io/Logging_1382/artfynd/S 463-2023 artfynd.xlsx", "S 463-2023")</f>
        <v/>
      </c>
      <c r="W43">
        <f>HYPERLINK("https://klasma.github.io/Logging_1382/kartor/S 463-2023 karta.png", "S 463-2023")</f>
        <v/>
      </c>
      <c r="X43">
        <f>HYPERLINK("https://klasma.github.io/Logging_1382/kartor_geotiff/S 463-2023 georefererad karta.tif", "S 463-2023")</f>
        <v/>
      </c>
      <c r="Z43">
        <f>HYPERLINK("https://klasma.github.io/Logging_1382/klagomål/S 463-2023 FSC-klagomål.docx", "S 463-2023")</f>
        <v/>
      </c>
      <c r="AA43">
        <f>HYPERLINK("https://klasma.github.io/Logging_1382/klagomålsmail/S 463-2023 FSC-klagomål mail.docx", "S 463-2023")</f>
        <v/>
      </c>
      <c r="AB43">
        <f>HYPERLINK("https://klasma.github.io/Logging_1382/tillsyn/S 463-2023 tillsynsbegäran.docx", "S 463-2023")</f>
        <v/>
      </c>
      <c r="AC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46223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HYPERLINK("https://klasma.github.io/Logging_1382/artfynd/S 623-2024 artfynd.xlsx", "S 623-2024")</f>
        <v/>
      </c>
      <c r="W44">
        <f>HYPERLINK("https://klasma.github.io/Logging_1382/kartor/S 623-2024 karta.png", "S 623-2024")</f>
        <v/>
      </c>
      <c r="X44">
        <f>HYPERLINK("https://klasma.github.io/Logging_1382/kartor_geotiff/S 623-2024 georefererad karta.tif", "S 623-2024")</f>
        <v/>
      </c>
      <c r="Z44">
        <f>HYPERLINK("https://klasma.github.io/Logging_1382/klagomål/S 623-2024 FSC-klagomål.docx", "S 623-2024")</f>
        <v/>
      </c>
      <c r="AA44">
        <f>HYPERLINK("https://klasma.github.io/Logging_1382/klagomålsmail/S 623-2024 FSC-klagomål mail.docx", "S 623-2024")</f>
        <v/>
      </c>
      <c r="AB44">
        <f>HYPERLINK("https://klasma.github.io/Logging_1382/tillsyn/S 623-2024 tillsynsbegäran.docx", "S 623-2024")</f>
        <v/>
      </c>
      <c r="AC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46223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Röd glada</t>
        </is>
      </c>
      <c r="V45">
        <f>HYPERLINK("https://klasma.github.io/Logging_1382/artfynd/S 627-2024 artfynd.xlsx", "S 627-2024")</f>
        <v/>
      </c>
      <c r="W45">
        <f>HYPERLINK("https://klasma.github.io/Logging_1382/kartor/S 627-2024 karta.png", "S 627-2024")</f>
        <v/>
      </c>
      <c r="X45">
        <f>HYPERLINK("https://klasma.github.io/Logging_1382/kartor_geotiff/S 627-2024 georefererad karta.tif", "S 627-2024")</f>
        <v/>
      </c>
      <c r="Z45">
        <f>HYPERLINK("https://klasma.github.io/Logging_1382/klagomål/S 627-2024 FSC-klagomål.docx", "S 627-2024")</f>
        <v/>
      </c>
      <c r="AA45">
        <f>HYPERLINK("https://klasma.github.io/Logging_1382/klagomålsmail/S 627-2024 FSC-klagomål mail.docx", "S 627-2024")</f>
        <v/>
      </c>
      <c r="AB45">
        <f>HYPERLINK("https://klasma.github.io/Logging_1382/tillsyn/S 627-2024 tillsynsbegäran.docx", "S 627-2024")</f>
        <v/>
      </c>
      <c r="AC45">
        <f>HYPERLINK("https://klasma.github.io/Logging_1382/tillsynsmail/S 627-2024 tillsynsbegäran mail.docx", "S 627-2024")</f>
        <v/>
      </c>
      <c r="AD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46223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Mindre vattensalamander</t>
        </is>
      </c>
      <c r="V46">
        <f>HYPERLINK("https://klasma.github.io/Logging_1382/artfynd/S 555-2024 artfynd.xlsx", "S 555-2024")</f>
        <v/>
      </c>
      <c r="W46">
        <f>HYPERLINK("https://klasma.github.io/Logging_1382/kartor/S 555-2024 karta.png", "S 555-2024")</f>
        <v/>
      </c>
      <c r="X46">
        <f>HYPERLINK("https://klasma.github.io/Logging_1382/kartor_geotiff/S 555-2024 georefererad karta.tif", "S 555-2024")</f>
        <v/>
      </c>
      <c r="Z46">
        <f>HYPERLINK("https://klasma.github.io/Logging_1382/klagomål/S 555-2024 FSC-klagomål.docx", "S 555-2024")</f>
        <v/>
      </c>
      <c r="AA46">
        <f>HYPERLINK("https://klasma.github.io/Logging_1382/klagomålsmail/S 555-2024 FSC-klagomål mail.docx", "S 555-2024")</f>
        <v/>
      </c>
      <c r="AB46">
        <f>HYPERLINK("https://klasma.github.io/Logging_1382/tillsyn/S 555-2024 tillsynsbegäran.docx", "S 555-2024")</f>
        <v/>
      </c>
      <c r="AC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46223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X47">
        <f>HYPERLINK("https://klasma.github.io/Logging_1382/kartor_geotiff/S 365-2024 georefererad karta.tif", "S 365-2024")</f>
        <v/>
      </c>
      <c r="Z47">
        <f>HYPERLINK("https://klasma.github.io/Logging_1382/klagomål/S 365-2024 FSC-klagomål.docx", "S 365-2024")</f>
        <v/>
      </c>
      <c r="AA47">
        <f>HYPERLINK("https://klasma.github.io/Logging_1382/klagomålsmail/S 365-2024 FSC-klagomål mail.docx", "S 365-2024")</f>
        <v/>
      </c>
      <c r="AB47">
        <f>HYPERLINK("https://klasma.github.io/Logging_1382/tillsyn/S 365-2024 tillsynsbegäran.docx", "S 365-2024")</f>
        <v/>
      </c>
      <c r="AC47">
        <f>HYPERLINK("https://klasma.github.io/Logging_1382/tillsynsmail/S 365-2024 tillsynsbegäran mail.docx", "S 365-2024")</f>
        <v/>
      </c>
      <c r="AD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46223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X48">
        <f>HYPERLINK("https://klasma.github.io/Logging_1382/kartor_geotiff/S 2876-2025 georefererad karta.tif", "S 2876-2025")</f>
        <v/>
      </c>
      <c r="Z48">
        <f>HYPERLINK("https://klasma.github.io/Logging_1382/klagomål/S 2876-2025 FSC-klagomål.docx", "S 2876-2025")</f>
        <v/>
      </c>
      <c r="AA48">
        <f>HYPERLINK("https://klasma.github.io/Logging_1382/klagomålsmail/S 2876-2025 FSC-klagomål mail.docx", "S 2876-2025")</f>
        <v/>
      </c>
      <c r="AB48">
        <f>HYPERLINK("https://klasma.github.io/Logging_1382/tillsyn/S 2876-2025 tillsynsbegäran.docx", "S 2876-2025")</f>
        <v/>
      </c>
      <c r="AC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46223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X49">
        <f>HYPERLINK("https://klasma.github.io/Logging_1382/kartor_geotiff/S 781-2026 georefererad karta.tif", "S 781-2026")</f>
        <v/>
      </c>
      <c r="Z49">
        <f>HYPERLINK("https://klasma.github.io/Logging_1382/klagomål/S 781-2026 FSC-klagomål.docx", "S 781-2026")</f>
        <v/>
      </c>
      <c r="AA49">
        <f>HYPERLINK("https://klasma.github.io/Logging_1382/klagomålsmail/S 781-2026 FSC-klagomål mail.docx", "S 781-2026")</f>
        <v/>
      </c>
      <c r="AB49">
        <f>HYPERLINK("https://klasma.github.io/Logging_1382/tillsyn/S 781-2026 tillsynsbegäran.docx", "S 781-2026")</f>
        <v/>
      </c>
      <c r="AC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46223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46223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46223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46223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46223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46223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46223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46223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46223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46223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46223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46223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46223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47763-2021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44448</v>
      </c>
      <c r="E63" s="1" t="n">
        <v>46223</v>
      </c>
      <c r="F63" t="inlineStr">
        <is>
          <t>HALLANDS LÄN</t>
        </is>
      </c>
      <c r="G63" t="inlineStr">
        <is>
          <t>FALKENBERG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46223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46223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46223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46223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46223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46223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46223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46223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46223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46223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46223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46223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46223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46223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46223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46223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46223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46223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46223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46223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46223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46223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46223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46223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46223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46223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46223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46223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46223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46223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46223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46223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38573-2021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46223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44841</v>
      </c>
      <c r="E97" s="1" t="n">
        <v>46223</v>
      </c>
      <c r="F97" t="inlineStr">
        <is>
          <t>HALLANDS LÄN</t>
        </is>
      </c>
      <c r="G97" t="inlineStr">
        <is>
          <t>FALKENBERG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72468-2021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46223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46223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46223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46223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46223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46223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46223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46223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46223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46223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46223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46223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46223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46223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46223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46223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46223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46223</v>
      </c>
      <c r="F115" t="inlineStr">
        <is>
          <t>HALLANDS LÄN</t>
        </is>
      </c>
      <c r="G115" t="inlineStr">
        <is>
          <t>FALKENBERG</t>
        </is>
      </c>
      <c r="H115" t="inlineStr">
        <is>
          <t>Bergvik skog väst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46223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46223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46223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46223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46223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46223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46223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7516-2025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46223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46223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46223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46223</v>
      </c>
      <c r="F126" t="inlineStr">
        <is>
          <t>HALLANDS LÄN</t>
        </is>
      </c>
      <c r="G126" t="inlineStr">
        <is>
          <t>FALKENBERG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49764-2023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46223</v>
      </c>
      <c r="F127" t="inlineStr">
        <is>
          <t>HALLANDS LÄN</t>
        </is>
      </c>
      <c r="G127" t="inlineStr">
        <is>
          <t>FALKENBERG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46223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41238-2023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46223</v>
      </c>
      <c r="F129" t="inlineStr">
        <is>
          <t>HALLANDS LÄN</t>
        </is>
      </c>
      <c r="G129" t="inlineStr">
        <is>
          <t>FALKENBERG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45829-2023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46223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44806</v>
      </c>
      <c r="E131" s="1" t="n">
        <v>46223</v>
      </c>
      <c r="F131" t="inlineStr">
        <is>
          <t>HALLANDS LÄN</t>
        </is>
      </c>
      <c r="G131" t="inlineStr">
        <is>
          <t>FALKENBERG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46223</v>
      </c>
      <c r="F132" t="inlineStr">
        <is>
          <t>HALLANDS LÄN</t>
        </is>
      </c>
      <c r="G132" t="inlineStr">
        <is>
          <t>FALKENBERG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18732-2024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46223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46223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20358-2024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46223</v>
      </c>
      <c r="F135" t="inlineStr">
        <is>
          <t>HALLANDS LÄN</t>
        </is>
      </c>
      <c r="G135" t="inlineStr">
        <is>
          <t>FALKENBERG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46223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53400-2023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45229</v>
      </c>
      <c r="E137" s="1" t="n">
        <v>46223</v>
      </c>
      <c r="F137" t="inlineStr">
        <is>
          <t>HALLANDS LÄN</t>
        </is>
      </c>
      <c r="G137" t="inlineStr">
        <is>
          <t>FALKENBERG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46223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46223</v>
      </c>
      <c r="F139" t="inlineStr">
        <is>
          <t>HALLANDS LÄN</t>
        </is>
      </c>
      <c r="G139" t="inlineStr">
        <is>
          <t>FALKENBERG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46223</v>
      </c>
      <c r="F140" t="inlineStr">
        <is>
          <t>HALLANDS LÄN</t>
        </is>
      </c>
      <c r="G140" t="inlineStr">
        <is>
          <t>FALKENBERG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45839-2024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46223</v>
      </c>
      <c r="F141" t="inlineStr">
        <is>
          <t>HALLANDS LÄN</t>
        </is>
      </c>
      <c r="G141" t="inlineStr">
        <is>
          <t>FALKENBERG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45323</v>
      </c>
      <c r="E142" s="1" t="n">
        <v>46223</v>
      </c>
      <c r="F142" t="inlineStr">
        <is>
          <t>HALLANDS LÄN</t>
        </is>
      </c>
      <c r="G142" t="inlineStr">
        <is>
          <t>FALKENBERG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53069-2021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46223</v>
      </c>
      <c r="F143" t="inlineStr">
        <is>
          <t>HALLANDS LÄN</t>
        </is>
      </c>
      <c r="G143" t="inlineStr">
        <is>
          <t>FALKENBERG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46223</v>
      </c>
      <c r="F144" t="inlineStr">
        <is>
          <t>HALLANDS LÄN</t>
        </is>
      </c>
      <c r="G144" t="inlineStr">
        <is>
          <t>FALKENBERG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58030-2023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46223</v>
      </c>
      <c r="F145" t="inlineStr">
        <is>
          <t>HALLANDS LÄN</t>
        </is>
      </c>
      <c r="G145" t="inlineStr">
        <is>
          <t>FALKENBERG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46223</v>
      </c>
      <c r="F146" t="inlineStr">
        <is>
          <t>HALLANDS LÄN</t>
        </is>
      </c>
      <c r="G146" t="inlineStr">
        <is>
          <t>FALKENBERG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46223</v>
      </c>
      <c r="F147" t="inlineStr">
        <is>
          <t>HALLANDS LÄN</t>
        </is>
      </c>
      <c r="G147" t="inlineStr">
        <is>
          <t>FALKENBERG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63310-2023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46223</v>
      </c>
      <c r="F148" t="inlineStr">
        <is>
          <t>HALLANDS LÄN</t>
        </is>
      </c>
      <c r="G148" t="inlineStr">
        <is>
          <t>FALKENBERG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46223</v>
      </c>
      <c r="F149" t="inlineStr">
        <is>
          <t>HALLANDS LÄN</t>
        </is>
      </c>
      <c r="G149" t="inlineStr">
        <is>
          <t>FALKENBERG</t>
        </is>
      </c>
      <c r="H149" t="inlineStr">
        <is>
          <t>Kommuner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57020-2023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46223</v>
      </c>
      <c r="F150" t="inlineStr">
        <is>
          <t>HALLANDS LÄN</t>
        </is>
      </c>
      <c r="G150" t="inlineStr">
        <is>
          <t>FALKENBERG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46223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46223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46223</v>
      </c>
      <c r="F153" t="inlineStr">
        <is>
          <t>HALLANDS LÄN</t>
        </is>
      </c>
      <c r="G153" t="inlineStr">
        <is>
          <t>FALKENBERG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46223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46223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46223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46223</v>
      </c>
      <c r="F157" t="inlineStr">
        <is>
          <t>HALLANDS LÄN</t>
        </is>
      </c>
      <c r="G157" t="inlineStr">
        <is>
          <t>FALKENBERG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57660-2022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46223</v>
      </c>
      <c r="F158" t="inlineStr">
        <is>
          <t>HALLANDS LÄN</t>
        </is>
      </c>
      <c r="G158" t="inlineStr">
        <is>
          <t>FALKENBERG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46223</v>
      </c>
      <c r="F159" t="inlineStr">
        <is>
          <t>HALLANDS LÄN</t>
        </is>
      </c>
      <c r="G159" t="inlineStr">
        <is>
          <t>FALKENBERG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61546-2022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44916</v>
      </c>
      <c r="E160" s="1" t="n">
        <v>46223</v>
      </c>
      <c r="F160" t="inlineStr">
        <is>
          <t>HALLANDS LÄN</t>
        </is>
      </c>
      <c r="G160" t="inlineStr">
        <is>
          <t>FALKENBERG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46223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46223</v>
      </c>
      <c r="F162" t="inlineStr">
        <is>
          <t>HALLANDS LÄN</t>
        </is>
      </c>
      <c r="G162" t="inlineStr">
        <is>
          <t>FALKENBERG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46223</v>
      </c>
      <c r="F163" t="inlineStr">
        <is>
          <t>HALLANDS LÄN</t>
        </is>
      </c>
      <c r="G163" t="inlineStr">
        <is>
          <t>FALKENBERG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22546-2023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46223</v>
      </c>
      <c r="F164" t="inlineStr">
        <is>
          <t>HALLANDS LÄN</t>
        </is>
      </c>
      <c r="G164" t="inlineStr">
        <is>
          <t>FALKENBERG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46223</v>
      </c>
      <c r="F165" t="inlineStr">
        <is>
          <t>HALLANDS LÄN</t>
        </is>
      </c>
      <c r="G165" t="inlineStr">
        <is>
          <t>FALKENBERG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46223</v>
      </c>
      <c r="F166" t="inlineStr">
        <is>
          <t>HALLANDS LÄN</t>
        </is>
      </c>
      <c r="G166" t="inlineStr">
        <is>
          <t>FALKENBERG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46223</v>
      </c>
      <c r="F167" t="inlineStr">
        <is>
          <t>HALLANDS LÄN</t>
        </is>
      </c>
      <c r="G167" t="inlineStr">
        <is>
          <t>FALKENBERG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44584</v>
      </c>
      <c r="E168" s="1" t="n">
        <v>46223</v>
      </c>
      <c r="F168" t="inlineStr">
        <is>
          <t>HALLANDS LÄN</t>
        </is>
      </c>
      <c r="G168" t="inlineStr">
        <is>
          <t>FALKENBERG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46223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46223</v>
      </c>
      <c r="F170" t="inlineStr">
        <is>
          <t>HALLANDS LÄN</t>
        </is>
      </c>
      <c r="G170" t="inlineStr">
        <is>
          <t>FALKENBERG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45554</v>
      </c>
      <c r="E171" s="1" t="n">
        <v>46223</v>
      </c>
      <c r="F171" t="inlineStr">
        <is>
          <t>HALLANDS LÄN</t>
        </is>
      </c>
      <c r="G171" t="inlineStr">
        <is>
          <t>FALKENBERG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26838-2025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46223</v>
      </c>
      <c r="F172" t="inlineStr">
        <is>
          <t>HALLANDS LÄN</t>
        </is>
      </c>
      <c r="G172" t="inlineStr">
        <is>
          <t>FALKENBERG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7696-2024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46223</v>
      </c>
      <c r="F173" t="inlineStr">
        <is>
          <t>HALLANDS LÄN</t>
        </is>
      </c>
      <c r="G173" t="inlineStr">
        <is>
          <t>FALKENBERG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51398-2023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46223</v>
      </c>
      <c r="F174" t="inlineStr">
        <is>
          <t>HALLANDS LÄN</t>
        </is>
      </c>
      <c r="G174" t="inlineStr">
        <is>
          <t>FALKENBERG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38715-2024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46223</v>
      </c>
      <c r="F175" t="inlineStr">
        <is>
          <t>HALLANDS LÄN</t>
        </is>
      </c>
      <c r="G175" t="inlineStr">
        <is>
          <t>FALKENBERG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7874-2024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45350</v>
      </c>
      <c r="E176" s="1" t="n">
        <v>46223</v>
      </c>
      <c r="F176" t="inlineStr">
        <is>
          <t>HALLANDS LÄN</t>
        </is>
      </c>
      <c r="G176" t="inlineStr">
        <is>
          <t>FALKENBERG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39716-2024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46223</v>
      </c>
      <c r="F177" t="inlineStr">
        <is>
          <t>HALLANDS LÄN</t>
        </is>
      </c>
      <c r="G177" t="inlineStr">
        <is>
          <t>FALKENBERG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46223</v>
      </c>
      <c r="F178" t="inlineStr">
        <is>
          <t>HALLANDS LÄN</t>
        </is>
      </c>
      <c r="G178" t="inlineStr">
        <is>
          <t>FALKENBERG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25852-2024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46223</v>
      </c>
      <c r="F179" t="inlineStr">
        <is>
          <t>HALLANDS LÄN</t>
        </is>
      </c>
      <c r="G179" t="inlineStr">
        <is>
          <t>FALKENBERG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46223</v>
      </c>
      <c r="F180" t="inlineStr">
        <is>
          <t>HALLANDS LÄN</t>
        </is>
      </c>
      <c r="G180" t="inlineStr">
        <is>
          <t>FALKENBERG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8827-2025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46223</v>
      </c>
      <c r="F181" t="inlineStr">
        <is>
          <t>HALLANDS LÄN</t>
        </is>
      </c>
      <c r="G181" t="inlineStr">
        <is>
          <t>FALKENBERG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44938</v>
      </c>
      <c r="E182" s="1" t="n">
        <v>46223</v>
      </c>
      <c r="F182" t="inlineStr">
        <is>
          <t>HALLANDS LÄN</t>
        </is>
      </c>
      <c r="G182" t="inlineStr">
        <is>
          <t>FALKENBERG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46223</v>
      </c>
      <c r="F183" t="inlineStr">
        <is>
          <t>HALLANDS LÄN</t>
        </is>
      </c>
      <c r="G183" t="inlineStr">
        <is>
          <t>FALKENBERG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46223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46223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60909-2022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44908</v>
      </c>
      <c r="E186" s="1" t="n">
        <v>46223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46223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46223</v>
      </c>
      <c r="F188" t="inlineStr">
        <is>
          <t>HALLANDS LÄN</t>
        </is>
      </c>
      <c r="G188" t="inlineStr">
        <is>
          <t>FALKENBERG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46223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39298-2025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46223</v>
      </c>
      <c r="F190" t="inlineStr">
        <is>
          <t>HALLANDS LÄN</t>
        </is>
      </c>
      <c r="G190" t="inlineStr">
        <is>
          <t>FALKENBERG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40581-2024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46223</v>
      </c>
      <c r="F191" t="inlineStr">
        <is>
          <t>HALLANDS LÄN</t>
        </is>
      </c>
      <c r="G191" t="inlineStr">
        <is>
          <t>FALKENBERG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46223</v>
      </c>
      <c r="F192" t="inlineStr">
        <is>
          <t>HALLANDS LÄN</t>
        </is>
      </c>
      <c r="G192" t="inlineStr">
        <is>
          <t>FALKENBERG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46223</v>
      </c>
      <c r="F193" t="inlineStr">
        <is>
          <t>HALLANDS LÄN</t>
        </is>
      </c>
      <c r="G193" t="inlineStr">
        <is>
          <t>FALKENBERG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19565-2025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46223</v>
      </c>
      <c r="F194" t="inlineStr">
        <is>
          <t>HALLANDS LÄN</t>
        </is>
      </c>
      <c r="G194" t="inlineStr">
        <is>
          <t>FALKENBERG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46223</v>
      </c>
      <c r="F195" t="inlineStr">
        <is>
          <t>HALLANDS LÄN</t>
        </is>
      </c>
      <c r="G195" t="inlineStr">
        <is>
          <t>FALKENBERG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46223</v>
      </c>
      <c r="F196" t="inlineStr">
        <is>
          <t>HALLANDS LÄN</t>
        </is>
      </c>
      <c r="G196" t="inlineStr">
        <is>
          <t>FALKENBERG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46223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40448-2025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46223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57621-2023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46223</v>
      </c>
      <c r="F199" t="inlineStr">
        <is>
          <t>HALLANDS LÄN</t>
        </is>
      </c>
      <c r="G199" t="inlineStr">
        <is>
          <t>FALKENBERG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44963-2024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46223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14753-2022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44656</v>
      </c>
      <c r="E201" s="1" t="n">
        <v>46223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46223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44694</v>
      </c>
      <c r="E203" s="1" t="n">
        <v>46223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46223</v>
      </c>
      <c r="F204" t="inlineStr">
        <is>
          <t>HALLANDS LÄN</t>
        </is>
      </c>
      <c r="G204" t="inlineStr">
        <is>
          <t>FALKENBERG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45670</v>
      </c>
      <c r="E205" s="1" t="n">
        <v>46223</v>
      </c>
      <c r="F205" t="inlineStr">
        <is>
          <t>HALLANDS LÄN</t>
        </is>
      </c>
      <c r="G205" t="inlineStr">
        <is>
          <t>FALKENBERG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31682-2025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46223</v>
      </c>
      <c r="F206" t="inlineStr">
        <is>
          <t>HALLANDS LÄN</t>
        </is>
      </c>
      <c r="G206" t="inlineStr">
        <is>
          <t>FALKENBERG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31684-2025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46223</v>
      </c>
      <c r="F207" t="inlineStr">
        <is>
          <t>HALLANDS LÄN</t>
        </is>
      </c>
      <c r="G207" t="inlineStr">
        <is>
          <t>FALKENBERG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8349-2022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46223</v>
      </c>
      <c r="F208" t="inlineStr">
        <is>
          <t>HALLANDS LÄN</t>
        </is>
      </c>
      <c r="G208" t="inlineStr">
        <is>
          <t>FALKENBERG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46223</v>
      </c>
      <c r="F209" t="inlineStr">
        <is>
          <t>HALLANDS LÄN</t>
        </is>
      </c>
      <c r="G209" t="inlineStr">
        <is>
          <t>FALKENBERG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20543-2023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45055</v>
      </c>
      <c r="E210" s="1" t="n">
        <v>46223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20546-2023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45055</v>
      </c>
      <c r="E211" s="1" t="n">
        <v>46223</v>
      </c>
      <c r="F211" t="inlineStr">
        <is>
          <t>HALLANDS LÄN</t>
        </is>
      </c>
      <c r="G211" t="inlineStr">
        <is>
          <t>FALKENBERG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46223</v>
      </c>
      <c r="F212" t="inlineStr">
        <is>
          <t>HALLANDS LÄN</t>
        </is>
      </c>
      <c r="G212" t="inlineStr">
        <is>
          <t>FALKENBERG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42678-2025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45908</v>
      </c>
      <c r="E213" s="1" t="n">
        <v>46223</v>
      </c>
      <c r="F213" t="inlineStr">
        <is>
          <t>HALLANDS LÄN</t>
        </is>
      </c>
      <c r="G213" t="inlineStr">
        <is>
          <t>FALKENBERG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32623-2025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46223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32628-2025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46223</v>
      </c>
      <c r="F215" t="inlineStr">
        <is>
          <t>HALLANDS LÄN</t>
        </is>
      </c>
      <c r="G215" t="inlineStr">
        <is>
          <t>FALKENBERG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32336-2025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45836</v>
      </c>
      <c r="E216" s="1" t="n">
        <v>46223</v>
      </c>
      <c r="F216" t="inlineStr">
        <is>
          <t>HALLANDS LÄN</t>
        </is>
      </c>
      <c r="G216" t="inlineStr">
        <is>
          <t>FALKENBERG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46223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63097-2023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46223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32519-2025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46223</v>
      </c>
      <c r="F219" t="inlineStr">
        <is>
          <t>HALLANDS LÄN</t>
        </is>
      </c>
      <c r="G219" t="inlineStr">
        <is>
          <t>FALKENBERG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32398-2025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46223</v>
      </c>
      <c r="F220" t="inlineStr">
        <is>
          <t>HALLANDS LÄN</t>
        </is>
      </c>
      <c r="G220" t="inlineStr">
        <is>
          <t>FALKENBERG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32399-2025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46223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45914</v>
      </c>
      <c r="E222" s="1" t="n">
        <v>46223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43914-2025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46223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14500-2025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46223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46223</v>
      </c>
      <c r="F225" t="inlineStr">
        <is>
          <t>HALLANDS LÄN</t>
        </is>
      </c>
      <c r="G225" t="inlineStr">
        <is>
          <t>FALKENBERG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46223</v>
      </c>
      <c r="F226" t="inlineStr">
        <is>
          <t>HALLANDS LÄN</t>
        </is>
      </c>
      <c r="G226" t="inlineStr">
        <is>
          <t>FALKENBERG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46223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45852-2025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46223</v>
      </c>
      <c r="F228" t="inlineStr">
        <is>
          <t>HALLANDS LÄN</t>
        </is>
      </c>
      <c r="G228" t="inlineStr">
        <is>
          <t>FALKENBERG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9807-2023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46223</v>
      </c>
      <c r="F229" t="inlineStr">
        <is>
          <t>HALLANDS LÄN</t>
        </is>
      </c>
      <c r="G229" t="inlineStr">
        <is>
          <t>FALKENBERG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46223</v>
      </c>
      <c r="F230" t="inlineStr">
        <is>
          <t>HALLANDS LÄN</t>
        </is>
      </c>
      <c r="G230" t="inlineStr">
        <is>
          <t>FALKENBERG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45699-2025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46223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45944-2025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46223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46223</v>
      </c>
      <c r="F233" t="inlineStr">
        <is>
          <t>HALLANDS LÄN</t>
        </is>
      </c>
      <c r="G233" t="inlineStr">
        <is>
          <t>FALKENBERG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61889-2023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46223</v>
      </c>
      <c r="F234" t="inlineStr">
        <is>
          <t>HALLANDS LÄN</t>
        </is>
      </c>
      <c r="G234" t="inlineStr">
        <is>
          <t>FALKENBERG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46223</v>
      </c>
      <c r="F235" t="inlineStr">
        <is>
          <t>HALLANDS LÄN</t>
        </is>
      </c>
      <c r="G235" t="inlineStr">
        <is>
          <t>FALKENBERG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46704-2025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46223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34800-2025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46223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46223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46223</v>
      </c>
      <c r="F239" t="inlineStr">
        <is>
          <t>HALLANDS LÄN</t>
        </is>
      </c>
      <c r="G239" t="inlineStr">
        <is>
          <t>FALKENBERG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46223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9352-2025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46223</v>
      </c>
      <c r="F241" t="inlineStr">
        <is>
          <t>HALLANDS LÄN</t>
        </is>
      </c>
      <c r="G241" t="inlineStr">
        <is>
          <t>FALKENBERG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46223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46223</v>
      </c>
      <c r="F243" t="inlineStr">
        <is>
          <t>HALLANDS LÄN</t>
        </is>
      </c>
      <c r="G243" t="inlineStr">
        <is>
          <t>FALKENBERG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47802-2025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46223</v>
      </c>
      <c r="F244" t="inlineStr">
        <is>
          <t>HALLANDS LÄN</t>
        </is>
      </c>
      <c r="G244" t="inlineStr">
        <is>
          <t>FALKENBERG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46223</v>
      </c>
      <c r="F245" t="inlineStr">
        <is>
          <t>HALLANDS LÄN</t>
        </is>
      </c>
      <c r="G245" t="inlineStr">
        <is>
          <t>FALKENBERG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46223</v>
      </c>
      <c r="F246" t="inlineStr">
        <is>
          <t>HALLANDS LÄN</t>
        </is>
      </c>
      <c r="G246" t="inlineStr">
        <is>
          <t>FALKENBERG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46223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1277-2025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45667</v>
      </c>
      <c r="E248" s="1" t="n">
        <v>46223</v>
      </c>
      <c r="F248" t="inlineStr">
        <is>
          <t>HALLANDS LÄN</t>
        </is>
      </c>
      <c r="G248" t="inlineStr">
        <is>
          <t>FALKENBERG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46223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47412-2023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46223</v>
      </c>
      <c r="F250" t="inlineStr">
        <is>
          <t>HALLANDS LÄN</t>
        </is>
      </c>
      <c r="G250" t="inlineStr">
        <is>
          <t>FALKENBERG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46223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46223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46223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54606-2025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45966</v>
      </c>
      <c r="E254" s="1" t="n">
        <v>46223</v>
      </c>
      <c r="F254" t="inlineStr">
        <is>
          <t>HALLANDS LÄN</t>
        </is>
      </c>
      <c r="G254" t="inlineStr">
        <is>
          <t>FALKENBERG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20694-2023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46223</v>
      </c>
      <c r="F255" t="inlineStr">
        <is>
          <t>HALLANDS LÄN</t>
        </is>
      </c>
      <c r="G255" t="inlineStr">
        <is>
          <t>FALKENBERG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14895-2023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46223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65081-2021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44515</v>
      </c>
      <c r="E257" s="1" t="n">
        <v>46223</v>
      </c>
      <c r="F257" t="inlineStr">
        <is>
          <t>HALLANDS LÄN</t>
        </is>
      </c>
      <c r="G257" t="inlineStr">
        <is>
          <t>FALKENBERG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66747-2021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44521</v>
      </c>
      <c r="E258" s="1" t="n">
        <v>46223</v>
      </c>
      <c r="F258" t="inlineStr">
        <is>
          <t>HALLANDS LÄN</t>
        </is>
      </c>
      <c r="G258" t="inlineStr">
        <is>
          <t>FALKENBERG</t>
        </is>
      </c>
      <c r="I258" t="n">
        <v>10.7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46223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46223</v>
      </c>
      <c r="F260" t="inlineStr">
        <is>
          <t>HALLANDS LÄN</t>
        </is>
      </c>
      <c r="G260" t="inlineStr">
        <is>
          <t>FALKENBERG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18321-2024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45422</v>
      </c>
      <c r="E261" s="1" t="n">
        <v>46223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18323-2024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45422</v>
      </c>
      <c r="E262" s="1" t="n">
        <v>46223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45422</v>
      </c>
      <c r="E263" s="1" t="n">
        <v>46223</v>
      </c>
      <c r="F263" t="inlineStr">
        <is>
          <t>HALLANDS LÄN</t>
        </is>
      </c>
      <c r="G263" t="inlineStr">
        <is>
          <t>FALKENBERG</t>
        </is>
      </c>
      <c r="H263" t="inlineStr">
        <is>
          <t>Bergvik skog väst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39593-2022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46223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21815-2023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46223</v>
      </c>
      <c r="F265" t="inlineStr">
        <is>
          <t>HALLANDS LÄN</t>
        </is>
      </c>
      <c r="G265" t="inlineStr">
        <is>
          <t>FALKENBERG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50381-2022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44866</v>
      </c>
      <c r="E266" s="1" t="n">
        <v>46223</v>
      </c>
      <c r="F266" t="inlineStr">
        <is>
          <t>HALLANDS LÄN</t>
        </is>
      </c>
      <c r="G266" t="inlineStr">
        <is>
          <t>FALKENBERG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13514-2024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45387</v>
      </c>
      <c r="E267" s="1" t="n">
        <v>46223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20250-2024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45434</v>
      </c>
      <c r="E268" s="1" t="n">
        <v>46223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46223</v>
      </c>
      <c r="F269" t="inlineStr">
        <is>
          <t>HALLANDS LÄN</t>
        </is>
      </c>
      <c r="G269" t="inlineStr">
        <is>
          <t>FALKENBERG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63254-2023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46223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45079</v>
      </c>
      <c r="E271" s="1" t="n">
        <v>46223</v>
      </c>
      <c r="F271" t="inlineStr">
        <is>
          <t>HALLANDS LÄN</t>
        </is>
      </c>
      <c r="G271" t="inlineStr">
        <is>
          <t>FALKENBERG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46223</v>
      </c>
      <c r="F272" t="inlineStr">
        <is>
          <t>HALLANDS LÄN</t>
        </is>
      </c>
      <c r="G272" t="inlineStr">
        <is>
          <t>FALKENBERG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45305</v>
      </c>
      <c r="E273" s="1" t="n">
        <v>46223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19534-2022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44693</v>
      </c>
      <c r="E274" s="1" t="n">
        <v>46223</v>
      </c>
      <c r="F274" t="inlineStr">
        <is>
          <t>HALLANDS LÄN</t>
        </is>
      </c>
      <c r="G274" t="inlineStr">
        <is>
          <t>FALKENBERG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46223</v>
      </c>
      <c r="F275" t="inlineStr">
        <is>
          <t>HALLANDS LÄN</t>
        </is>
      </c>
      <c r="G275" t="inlineStr">
        <is>
          <t>FALKENBERG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28103-2025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46223</v>
      </c>
      <c r="F276" t="inlineStr">
        <is>
          <t>HALLANDS LÄN</t>
        </is>
      </c>
      <c r="G276" t="inlineStr">
        <is>
          <t>FALKENBERG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35310-2023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46223</v>
      </c>
      <c r="F277" t="inlineStr">
        <is>
          <t>HALLANDS LÄN</t>
        </is>
      </c>
      <c r="G277" t="inlineStr">
        <is>
          <t>FALKENBERG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33071-2025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46223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46223</v>
      </c>
      <c r="F279" t="inlineStr">
        <is>
          <t>HALLANDS LÄN</t>
        </is>
      </c>
      <c r="G279" t="inlineStr">
        <is>
          <t>FALKENBERG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46223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44952</v>
      </c>
      <c r="E281" s="1" t="n">
        <v>46223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18077-2025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46223</v>
      </c>
      <c r="F282" t="inlineStr">
        <is>
          <t>HALLANDS LÄN</t>
        </is>
      </c>
      <c r="G282" t="inlineStr">
        <is>
          <t>FALKENBERG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64455-2023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46223</v>
      </c>
      <c r="F283" t="inlineStr">
        <is>
          <t>HALLANDS LÄN</t>
        </is>
      </c>
      <c r="G283" t="inlineStr">
        <is>
          <t>FALKENBERG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46223</v>
      </c>
      <c r="F284" t="inlineStr">
        <is>
          <t>HALLANDS LÄN</t>
        </is>
      </c>
      <c r="G284" t="inlineStr">
        <is>
          <t>FALKENBERG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46223</v>
      </c>
      <c r="F285" t="inlineStr">
        <is>
          <t>HALLANDS LÄN</t>
        </is>
      </c>
      <c r="G285" t="inlineStr">
        <is>
          <t>FALKENBERG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45074</v>
      </c>
      <c r="E286" s="1" t="n">
        <v>46223</v>
      </c>
      <c r="F286" t="inlineStr">
        <is>
          <t>HALLANDS LÄN</t>
        </is>
      </c>
      <c r="G286" t="inlineStr">
        <is>
          <t>FALKENBERG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45270</v>
      </c>
      <c r="E287" s="1" t="n">
        <v>46223</v>
      </c>
      <c r="F287" t="inlineStr">
        <is>
          <t>HALLANDS LÄN</t>
        </is>
      </c>
      <c r="G287" t="inlineStr">
        <is>
          <t>FALKENBERG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58107-2023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45249</v>
      </c>
      <c r="E288" s="1" t="n">
        <v>46223</v>
      </c>
      <c r="F288" t="inlineStr">
        <is>
          <t>HALLANDS LÄN</t>
        </is>
      </c>
      <c r="G288" t="inlineStr">
        <is>
          <t>FALKENBERG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45974-2022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46223</v>
      </c>
      <c r="F289" t="inlineStr">
        <is>
          <t>HALLANDS LÄN</t>
        </is>
      </c>
      <c r="G289" t="inlineStr">
        <is>
          <t>FALKENBERG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14606-2023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45013</v>
      </c>
      <c r="E290" s="1" t="n">
        <v>46223</v>
      </c>
      <c r="F290" t="inlineStr">
        <is>
          <t>HALLANDS LÄN</t>
        </is>
      </c>
      <c r="G290" t="inlineStr">
        <is>
          <t>FALKENBERG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45970-2022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44846</v>
      </c>
      <c r="E291" s="1" t="n">
        <v>46223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46223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46223</v>
      </c>
      <c r="F293" t="inlineStr">
        <is>
          <t>HALLANDS LÄN</t>
        </is>
      </c>
      <c r="G293" t="inlineStr">
        <is>
          <t>FALKENBERG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58089-2023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45248</v>
      </c>
      <c r="E294" s="1" t="n">
        <v>46223</v>
      </c>
      <c r="F294" t="inlineStr">
        <is>
          <t>HALLANDS LÄN</t>
        </is>
      </c>
      <c r="G294" t="inlineStr">
        <is>
          <t>FALKENBERG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58106-2023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45249</v>
      </c>
      <c r="E295" s="1" t="n">
        <v>46223</v>
      </c>
      <c r="F295" t="inlineStr">
        <is>
          <t>HALLANDS LÄN</t>
        </is>
      </c>
      <c r="G295" t="inlineStr">
        <is>
          <t>FALKENBERG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62712-2023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46223</v>
      </c>
      <c r="F296" t="inlineStr">
        <is>
          <t>HALLANDS LÄN</t>
        </is>
      </c>
      <c r="G296" t="inlineStr">
        <is>
          <t>FALKENBERG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27432-2024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46223</v>
      </c>
      <c r="F297" t="inlineStr">
        <is>
          <t>HALLANDS LÄN</t>
        </is>
      </c>
      <c r="G297" t="inlineStr">
        <is>
          <t>FALKENBERG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20251-2024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45434</v>
      </c>
      <c r="E298" s="1" t="n">
        <v>46223</v>
      </c>
      <c r="F298" t="inlineStr">
        <is>
          <t>HALLANDS LÄN</t>
        </is>
      </c>
      <c r="G298" t="inlineStr">
        <is>
          <t>FALKENBERG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50133-2023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45215</v>
      </c>
      <c r="E299" s="1" t="n">
        <v>46223</v>
      </c>
      <c r="F299" t="inlineStr">
        <is>
          <t>HALLANDS LÄN</t>
        </is>
      </c>
      <c r="G299" t="inlineStr">
        <is>
          <t>FALKENBERG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30893-2022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44767</v>
      </c>
      <c r="E300" s="1" t="n">
        <v>46223</v>
      </c>
      <c r="F300" t="inlineStr">
        <is>
          <t>HALLANDS LÄN</t>
        </is>
      </c>
      <c r="G300" t="inlineStr">
        <is>
          <t>FALKENBERG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14602-2023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45013</v>
      </c>
      <c r="E301" s="1" t="n">
        <v>46223</v>
      </c>
      <c r="F301" t="inlineStr">
        <is>
          <t>HALLANDS LÄN</t>
        </is>
      </c>
      <c r="G301" t="inlineStr">
        <is>
          <t>FALKENBERG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16675-2025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46223</v>
      </c>
      <c r="F302" t="inlineStr">
        <is>
          <t>HALLANDS LÄN</t>
        </is>
      </c>
      <c r="G302" t="inlineStr">
        <is>
          <t>FALKENBERG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61931-2021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44502</v>
      </c>
      <c r="E303" s="1" t="n">
        <v>46223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46223</v>
      </c>
      <c r="F304" t="inlineStr">
        <is>
          <t>HALLANDS LÄN</t>
        </is>
      </c>
      <c r="G304" t="inlineStr">
        <is>
          <t>FALKENBERG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58109-2023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45249</v>
      </c>
      <c r="E305" s="1" t="n">
        <v>46223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58417-2023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46223</v>
      </c>
      <c r="F306" t="inlineStr">
        <is>
          <t>HALLANDS LÄN</t>
        </is>
      </c>
      <c r="G306" t="inlineStr">
        <is>
          <t>FALKENBERG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46223</v>
      </c>
      <c r="F307" t="inlineStr">
        <is>
          <t>HALLANDS LÄN</t>
        </is>
      </c>
      <c r="G307" t="inlineStr">
        <is>
          <t>FALKENBERG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8350-2023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44977</v>
      </c>
      <c r="E308" s="1" t="n">
        <v>46223</v>
      </c>
      <c r="F308" t="inlineStr">
        <is>
          <t>HALLANDS LÄN</t>
        </is>
      </c>
      <c r="G308" t="inlineStr">
        <is>
          <t>FALKENBERG</t>
        </is>
      </c>
      <c r="H308" t="inlineStr">
        <is>
          <t>Bergvik skog väst AB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46223</v>
      </c>
      <c r="F309" t="inlineStr">
        <is>
          <t>HALLANDS LÄN</t>
        </is>
      </c>
      <c r="G309" t="inlineStr">
        <is>
          <t>FALKENBERG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46223</v>
      </c>
      <c r="F310" t="inlineStr">
        <is>
          <t>HALLANDS LÄN</t>
        </is>
      </c>
      <c r="G310" t="inlineStr">
        <is>
          <t>FALKENBERG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46223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43576-2023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46223</v>
      </c>
      <c r="F312" t="inlineStr">
        <is>
          <t>HALLANDS LÄN</t>
        </is>
      </c>
      <c r="G312" t="inlineStr">
        <is>
          <t>FALKENBERG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43610-2023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46223</v>
      </c>
      <c r="F313" t="inlineStr">
        <is>
          <t>HALLANDS LÄN</t>
        </is>
      </c>
      <c r="G313" t="inlineStr">
        <is>
          <t>FALKENBERG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49761-2025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46223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50894-2025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46223</v>
      </c>
      <c r="F315" t="inlineStr">
        <is>
          <t>HALLANDS LÄN</t>
        </is>
      </c>
      <c r="G315" t="inlineStr">
        <is>
          <t>FALKENBERG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50905-2025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46223</v>
      </c>
      <c r="F316" t="inlineStr">
        <is>
          <t>HALLANDS LÄN</t>
        </is>
      </c>
      <c r="G316" t="inlineStr">
        <is>
          <t>FALKENBERG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46223</v>
      </c>
      <c r="F317" t="inlineStr">
        <is>
          <t>HALLANDS LÄN</t>
        </is>
      </c>
      <c r="G317" t="inlineStr">
        <is>
          <t>FALKENBERG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17382-2023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46223</v>
      </c>
      <c r="F318" t="inlineStr">
        <is>
          <t>HALLANDS LÄN</t>
        </is>
      </c>
      <c r="G318" t="inlineStr">
        <is>
          <t>FALKENBERG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51535-2025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46223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46441-2024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45582</v>
      </c>
      <c r="E320" s="1" t="n">
        <v>46223</v>
      </c>
      <c r="F320" t="inlineStr">
        <is>
          <t>HALLANDS LÄN</t>
        </is>
      </c>
      <c r="G320" t="inlineStr">
        <is>
          <t>FALKENBERG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43131-2021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44431</v>
      </c>
      <c r="E321" s="1" t="n">
        <v>46223</v>
      </c>
      <c r="F321" t="inlineStr">
        <is>
          <t>HALLANDS LÄN</t>
        </is>
      </c>
      <c r="G321" t="inlineStr">
        <is>
          <t>FALKENBERG</t>
        </is>
      </c>
      <c r="H321" t="inlineStr">
        <is>
          <t>Bergvik skog väst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46223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49286-2024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45595</v>
      </c>
      <c r="E323" s="1" t="n">
        <v>46223</v>
      </c>
      <c r="F323" t="inlineStr">
        <is>
          <t>HALLANDS LÄN</t>
        </is>
      </c>
      <c r="G323" t="inlineStr">
        <is>
          <t>FALKENBERG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51668-2025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46223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52050-2025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46223</v>
      </c>
      <c r="F325" t="inlineStr">
        <is>
          <t>HALLANDS LÄN</t>
        </is>
      </c>
      <c r="G325" t="inlineStr">
        <is>
          <t>FALKENBERG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46223</v>
      </c>
      <c r="F326" t="inlineStr">
        <is>
          <t>HALLANDS LÄN</t>
        </is>
      </c>
      <c r="G326" t="inlineStr">
        <is>
          <t>FALKENBERG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46223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52178-2025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46223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41233-2023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46223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46223</v>
      </c>
      <c r="F330" t="inlineStr">
        <is>
          <t>HALLANDS LÄN</t>
        </is>
      </c>
      <c r="G330" t="inlineStr">
        <is>
          <t>FALKENBERG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36431-2023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46223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10237-2023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44986</v>
      </c>
      <c r="E332" s="1" t="n">
        <v>46223</v>
      </c>
      <c r="F332" t="inlineStr">
        <is>
          <t>HALLANDS LÄN</t>
        </is>
      </c>
      <c r="G332" t="inlineStr">
        <is>
          <t>FALKENBERG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52428-2025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46223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41242-2023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46223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41244-2023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46223</v>
      </c>
      <c r="F335" t="inlineStr">
        <is>
          <t>HALLANDS LÄN</t>
        </is>
      </c>
      <c r="G335" t="inlineStr">
        <is>
          <t>FALKENBERG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44537-2023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46223</v>
      </c>
      <c r="F336" t="inlineStr">
        <is>
          <t>HALLANDS LÄN</t>
        </is>
      </c>
      <c r="G336" t="inlineStr">
        <is>
          <t>FALKENBERG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8520-2026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46223</v>
      </c>
      <c r="F337" t="inlineStr">
        <is>
          <t>HALLANDS LÄN</t>
        </is>
      </c>
      <c r="G337" t="inlineStr">
        <is>
          <t>FALKENBERG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46223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53412-2025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46223</v>
      </c>
      <c r="F339" t="inlineStr">
        <is>
          <t>HALLANDS LÄN</t>
        </is>
      </c>
      <c r="G339" t="inlineStr">
        <is>
          <t>FALKENBERG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46223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53576-2025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46223</v>
      </c>
      <c r="F341" t="inlineStr">
        <is>
          <t>HALLANDS LÄN</t>
        </is>
      </c>
      <c r="G341" t="inlineStr">
        <is>
          <t>FALKENBERG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53579-2025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46223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47021-2022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44852</v>
      </c>
      <c r="E343" s="1" t="n">
        <v>46223</v>
      </c>
      <c r="F343" t="inlineStr">
        <is>
          <t>HALLANDS LÄN</t>
        </is>
      </c>
      <c r="G343" t="inlineStr">
        <is>
          <t>FALKENBERG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9249-2026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46223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9056-2026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46223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53304-2025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46223</v>
      </c>
      <c r="F346" t="inlineStr">
        <is>
          <t>HALLANDS LÄN</t>
        </is>
      </c>
      <c r="G346" t="inlineStr">
        <is>
          <t>FALKENBERG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53309-2025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46223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53734-2025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46223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53306-2025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46223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53402-2025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46223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53722-2025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46223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67454-2021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46223</v>
      </c>
      <c r="F352" t="inlineStr">
        <is>
          <t>HALLANDS LÄN</t>
        </is>
      </c>
      <c r="G352" t="inlineStr">
        <is>
          <t>FALKENBERG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53801-2025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45960</v>
      </c>
      <c r="E353" s="1" t="n">
        <v>46223</v>
      </c>
      <c r="F353" t="inlineStr">
        <is>
          <t>HALLANDS LÄN</t>
        </is>
      </c>
      <c r="G353" t="inlineStr">
        <is>
          <t>FALKENBERG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45964</v>
      </c>
      <c r="E354" s="1" t="n">
        <v>46223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54276-2025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46223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53853-2025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46223</v>
      </c>
      <c r="F356" t="inlineStr">
        <is>
          <t>HALLANDS LÄN</t>
        </is>
      </c>
      <c r="G356" t="inlineStr">
        <is>
          <t>FALKENBERG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46223</v>
      </c>
      <c r="F357" t="inlineStr">
        <is>
          <t>HALLANDS LÄN</t>
        </is>
      </c>
      <c r="G357" t="inlineStr">
        <is>
          <t>FALKENBERG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46223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46223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46223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53852-2025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46223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54583-2025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46223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45751</v>
      </c>
      <c r="E363" s="1" t="n">
        <v>46223</v>
      </c>
      <c r="F363" t="inlineStr">
        <is>
          <t>HALLANDS LÄN</t>
        </is>
      </c>
      <c r="G363" t="inlineStr">
        <is>
          <t>FALKENBERG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54443-2025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46223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54461-2025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46223</v>
      </c>
      <c r="F365" t="inlineStr">
        <is>
          <t>HALLANDS LÄN</t>
        </is>
      </c>
      <c r="G365" t="inlineStr">
        <is>
          <t>FALKENBERG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52783-2023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45226</v>
      </c>
      <c r="E366" s="1" t="n">
        <v>46223</v>
      </c>
      <c r="F366" t="inlineStr">
        <is>
          <t>HALLANDS LÄN</t>
        </is>
      </c>
      <c r="G366" t="inlineStr">
        <is>
          <t>FALKENBERG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54581-2025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46223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54434-2025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46223</v>
      </c>
      <c r="F368" t="inlineStr">
        <is>
          <t>HALLANDS LÄN</t>
        </is>
      </c>
      <c r="G368" t="inlineStr">
        <is>
          <t>FALKENBERG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46223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54365-2025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46223</v>
      </c>
      <c r="F370" t="inlineStr">
        <is>
          <t>HALLANDS LÄN</t>
        </is>
      </c>
      <c r="G370" t="inlineStr">
        <is>
          <t>FALKENBERG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54424-2025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46223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55141-2025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45968</v>
      </c>
      <c r="E372" s="1" t="n">
        <v>46223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41526-2022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44827</v>
      </c>
      <c r="E373" s="1" t="n">
        <v>46223</v>
      </c>
      <c r="F373" t="inlineStr">
        <is>
          <t>HALLANDS LÄN</t>
        </is>
      </c>
      <c r="G373" t="inlineStr">
        <is>
          <t>FALKENBERG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55107-2025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46223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55535-2025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46223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55538-2025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46223</v>
      </c>
      <c r="F376" t="inlineStr">
        <is>
          <t>HALLANDS LÄN</t>
        </is>
      </c>
      <c r="G376" t="inlineStr">
        <is>
          <t>FALKENBERG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55539-2025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46223</v>
      </c>
      <c r="F377" t="inlineStr">
        <is>
          <t>HALLANDS LÄN</t>
        </is>
      </c>
      <c r="G377" t="inlineStr">
        <is>
          <t>FALKENBERG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55608-2025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46223</v>
      </c>
      <c r="F378" t="inlineStr">
        <is>
          <t>HALLANDS LÄN</t>
        </is>
      </c>
      <c r="G378" t="inlineStr">
        <is>
          <t>FALKENBERG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45205</v>
      </c>
      <c r="E379" s="1" t="n">
        <v>46223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46924-2023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46223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10540-2026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46223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10538-2026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46077</v>
      </c>
      <c r="E382" s="1" t="n">
        <v>46223</v>
      </c>
      <c r="F382" t="inlineStr">
        <is>
          <t>HALLANDS LÄN</t>
        </is>
      </c>
      <c r="G382" t="inlineStr">
        <is>
          <t>FALKENBERG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55923-2025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46223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55949-2025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46223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56552-2025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45975</v>
      </c>
      <c r="E385" s="1" t="n">
        <v>46223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56564-2025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46223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11334-2026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46082</v>
      </c>
      <c r="E387" s="1" t="n">
        <v>46223</v>
      </c>
      <c r="F387" t="inlineStr">
        <is>
          <t>HALLANDS LÄN</t>
        </is>
      </c>
      <c r="G387" t="inlineStr">
        <is>
          <t>FALKENBERG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8514-2026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46223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46223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26880-2022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44740</v>
      </c>
      <c r="E390" s="1" t="n">
        <v>46223</v>
      </c>
      <c r="F390" t="inlineStr">
        <is>
          <t>HALLANDS LÄN</t>
        </is>
      </c>
      <c r="G390" t="inlineStr">
        <is>
          <t>FALKENBERG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26887-2022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46223</v>
      </c>
      <c r="F391" t="inlineStr">
        <is>
          <t>HALLANDS LÄN</t>
        </is>
      </c>
      <c r="G391" t="inlineStr">
        <is>
          <t>FALKENBERG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42661-2024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46223</v>
      </c>
      <c r="F392" t="inlineStr">
        <is>
          <t>HALLANDS LÄN</t>
        </is>
      </c>
      <c r="G392" t="inlineStr">
        <is>
          <t>FALKENBERG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57283-2023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46223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46223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60239-2022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46223</v>
      </c>
      <c r="F395" t="inlineStr">
        <is>
          <t>HALLANDS LÄN</t>
        </is>
      </c>
      <c r="G395" t="inlineStr">
        <is>
          <t>FALKENBERG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44910</v>
      </c>
      <c r="E396" s="1" t="n">
        <v>46223</v>
      </c>
      <c r="F396" t="inlineStr">
        <is>
          <t>HALLANDS LÄN</t>
        </is>
      </c>
      <c r="G396" t="inlineStr">
        <is>
          <t>FALKENBERG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21915-2023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45068</v>
      </c>
      <c r="E397" s="1" t="n">
        <v>46223</v>
      </c>
      <c r="F397" t="inlineStr">
        <is>
          <t>HALLANDS LÄN</t>
        </is>
      </c>
      <c r="G397" t="inlineStr">
        <is>
          <t>FALKENBERG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13168-2025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46223</v>
      </c>
      <c r="F398" t="inlineStr">
        <is>
          <t>HALLANDS LÄN</t>
        </is>
      </c>
      <c r="G398" t="inlineStr">
        <is>
          <t>FALKENBERG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59270-2025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46223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59273-2025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46223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57115-2025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46223</v>
      </c>
      <c r="F401" t="inlineStr">
        <is>
          <t>HALLANDS LÄN</t>
        </is>
      </c>
      <c r="G401" t="inlineStr">
        <is>
          <t>FALKENBERG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59510-2025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46223</v>
      </c>
      <c r="F402" t="inlineStr">
        <is>
          <t>HALLANDS LÄN</t>
        </is>
      </c>
      <c r="G402" t="inlineStr">
        <is>
          <t>FALKENBERG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56925-2024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46223</v>
      </c>
      <c r="F403" t="inlineStr">
        <is>
          <t>HALLANDS LÄN</t>
        </is>
      </c>
      <c r="G403" t="inlineStr">
        <is>
          <t>FALKENBERG</t>
        </is>
      </c>
      <c r="H403" t="inlineStr">
        <is>
          <t>Kommuner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54170-2023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45232</v>
      </c>
      <c r="E404" s="1" t="n">
        <v>46223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56451-2022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44893</v>
      </c>
      <c r="E405" s="1" t="n">
        <v>46223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12924-2023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45001</v>
      </c>
      <c r="E406" s="1" t="n">
        <v>46223</v>
      </c>
      <c r="F406" t="inlineStr">
        <is>
          <t>HALLANDS LÄN</t>
        </is>
      </c>
      <c r="G406" t="inlineStr">
        <is>
          <t>FALKENBERG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13774-2026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46223</v>
      </c>
      <c r="F407" t="inlineStr">
        <is>
          <t>HALLANDS LÄN</t>
        </is>
      </c>
      <c r="G407" t="inlineStr">
        <is>
          <t>FALKENBERG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14204-2026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46223</v>
      </c>
      <c r="F408" t="inlineStr">
        <is>
          <t>HALLANDS LÄN</t>
        </is>
      </c>
      <c r="G408" t="inlineStr">
        <is>
          <t>FALKENBERG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45751</v>
      </c>
      <c r="E409" s="1" t="n">
        <v>46223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60812-2025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46223</v>
      </c>
      <c r="F410" t="inlineStr">
        <is>
          <t>HALLANDS LÄN</t>
        </is>
      </c>
      <c r="G410" t="inlineStr">
        <is>
          <t>FALKENBERG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32003-2023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46223</v>
      </c>
      <c r="F411" t="inlineStr">
        <is>
          <t>HALLANDS LÄN</t>
        </is>
      </c>
      <c r="G411" t="inlineStr">
        <is>
          <t>FALKENBERG</t>
        </is>
      </c>
      <c r="I411" t="n">
        <v>10.8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55257-2022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46223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62014-2025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46223</v>
      </c>
      <c r="F413" t="inlineStr">
        <is>
          <t>HALLANDS LÄN</t>
        </is>
      </c>
      <c r="G413" t="inlineStr">
        <is>
          <t>FALKENBERG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62131-2025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46223</v>
      </c>
      <c r="F414" t="inlineStr">
        <is>
          <t>HALLANDS LÄN</t>
        </is>
      </c>
      <c r="G414" t="inlineStr">
        <is>
          <t>FALKENBERG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46004</v>
      </c>
      <c r="E415" s="1" t="n">
        <v>46223</v>
      </c>
      <c r="F415" t="inlineStr">
        <is>
          <t>HALLANDS LÄN</t>
        </is>
      </c>
      <c r="G415" t="inlineStr">
        <is>
          <t>FALKENBERG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53939-2021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44469</v>
      </c>
      <c r="E416" s="1" t="n">
        <v>46223</v>
      </c>
      <c r="F416" t="inlineStr">
        <is>
          <t>HALLANDS LÄN</t>
        </is>
      </c>
      <c r="G416" t="inlineStr">
        <is>
          <t>FALKENBERG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24122-2024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45456</v>
      </c>
      <c r="E417" s="1" t="n">
        <v>46223</v>
      </c>
      <c r="F417" t="inlineStr">
        <is>
          <t>HALLANDS LÄN</t>
        </is>
      </c>
      <c r="G417" t="inlineStr">
        <is>
          <t>FALKENBERG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44957</v>
      </c>
      <c r="E418" s="1" t="n">
        <v>46223</v>
      </c>
      <c r="F418" t="inlineStr">
        <is>
          <t>HALLANDS LÄN</t>
        </is>
      </c>
      <c r="G418" t="inlineStr">
        <is>
          <t>FALKENBERG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70848-2021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44538</v>
      </c>
      <c r="E419" s="1" t="n">
        <v>46223</v>
      </c>
      <c r="F419" t="inlineStr">
        <is>
          <t>HALLANDS LÄN</t>
        </is>
      </c>
      <c r="G419" t="inlineStr">
        <is>
          <t>FALKENBERG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44090-2023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45188</v>
      </c>
      <c r="E420" s="1" t="n">
        <v>46223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52273-2025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46223</v>
      </c>
      <c r="F421" t="inlineStr">
        <is>
          <t>HALLANDS LÄN</t>
        </is>
      </c>
      <c r="G421" t="inlineStr">
        <is>
          <t>FALKENBERG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6508-2023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44966</v>
      </c>
      <c r="E422" s="1" t="n">
        <v>46223</v>
      </c>
      <c r="F422" t="inlineStr">
        <is>
          <t>HALLANDS LÄN</t>
        </is>
      </c>
      <c r="G422" t="inlineStr">
        <is>
          <t>FALKENBERG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7877-2024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45350</v>
      </c>
      <c r="E423" s="1" t="n">
        <v>46223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64404-2023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45280</v>
      </c>
      <c r="E424" s="1" t="n">
        <v>46223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72470-2021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44545</v>
      </c>
      <c r="E425" s="1" t="n">
        <v>46223</v>
      </c>
      <c r="F425" t="inlineStr">
        <is>
          <t>HALLANDS LÄN</t>
        </is>
      </c>
      <c r="G425" t="inlineStr">
        <is>
          <t>FALKENBERG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46223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31568-2023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46223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12470-2023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44999</v>
      </c>
      <c r="E428" s="1" t="n">
        <v>46223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15513-2026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46223</v>
      </c>
      <c r="F429" t="inlineStr">
        <is>
          <t>HALLANDS LÄN</t>
        </is>
      </c>
      <c r="G429" t="inlineStr">
        <is>
          <t>FALKENBERG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46223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46223</v>
      </c>
      <c r="F431" t="inlineStr">
        <is>
          <t>HALLANDS LÄN</t>
        </is>
      </c>
      <c r="G431" t="inlineStr">
        <is>
          <t>FALKENBERG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15404-2026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46223</v>
      </c>
      <c r="F432" t="inlineStr">
        <is>
          <t>HALLANDS LÄN</t>
        </is>
      </c>
      <c r="G432" t="inlineStr">
        <is>
          <t>FALKENBERG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55878-2023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45239</v>
      </c>
      <c r="E433" s="1" t="n">
        <v>46223</v>
      </c>
      <c r="F433" t="inlineStr">
        <is>
          <t>HALLANDS LÄN</t>
        </is>
      </c>
      <c r="G433" t="inlineStr">
        <is>
          <t>FALKENBERG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15505-2026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46223</v>
      </c>
      <c r="F434" t="inlineStr">
        <is>
          <t>HALLANDS LÄN</t>
        </is>
      </c>
      <c r="G434" t="inlineStr">
        <is>
          <t>FALKENBERG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46223</v>
      </c>
      <c r="F435" t="inlineStr">
        <is>
          <t>HALLANDS LÄN</t>
        </is>
      </c>
      <c r="G435" t="inlineStr">
        <is>
          <t>FALKENBERG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45425</v>
      </c>
      <c r="E436" s="1" t="n">
        <v>46223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46223</v>
      </c>
      <c r="F437" t="inlineStr">
        <is>
          <t>HALLANDS LÄN</t>
        </is>
      </c>
      <c r="G437" t="inlineStr">
        <is>
          <t>FALKENBERG</t>
        </is>
      </c>
      <c r="H437" t="inlineStr">
        <is>
          <t>Naturvårdsverket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27436-2024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45474</v>
      </c>
      <c r="E438" s="1" t="n">
        <v>46223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46223</v>
      </c>
      <c r="F439" t="inlineStr">
        <is>
          <t>HALLANDS LÄN</t>
        </is>
      </c>
      <c r="G439" t="inlineStr">
        <is>
          <t>FALKENBERG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67744-2021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46223</v>
      </c>
      <c r="F440" t="inlineStr">
        <is>
          <t>HALLANDS LÄN</t>
        </is>
      </c>
      <c r="G440" t="inlineStr">
        <is>
          <t>FALKENBERG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71844-2021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44543</v>
      </c>
      <c r="E441" s="1" t="n">
        <v>46223</v>
      </c>
      <c r="F441" t="inlineStr">
        <is>
          <t>HALLANDS LÄN</t>
        </is>
      </c>
      <c r="G441" t="inlineStr">
        <is>
          <t>FALKENBERG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45019</v>
      </c>
      <c r="E442" s="1" t="n">
        <v>46223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41610-2022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44827</v>
      </c>
      <c r="E443" s="1" t="n">
        <v>46223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34598-2023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45138</v>
      </c>
      <c r="E444" s="1" t="n">
        <v>46223</v>
      </c>
      <c r="F444" t="inlineStr">
        <is>
          <t>HALLANDS LÄN</t>
        </is>
      </c>
      <c r="G444" t="inlineStr">
        <is>
          <t>FALKENBERG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17484-2026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46120</v>
      </c>
      <c r="E445" s="1" t="n">
        <v>46223</v>
      </c>
      <c r="F445" t="inlineStr">
        <is>
          <t>HALLANDS LÄN</t>
        </is>
      </c>
      <c r="G445" t="inlineStr">
        <is>
          <t>FALKENBERG</t>
        </is>
      </c>
      <c r="H445" t="inlineStr">
        <is>
          <t>Övriga Aktiebolag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8252-2023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46223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46365-2022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44848</v>
      </c>
      <c r="E447" s="1" t="n">
        <v>46223</v>
      </c>
      <c r="F447" t="inlineStr">
        <is>
          <t>HALLANDS LÄN</t>
        </is>
      </c>
      <c r="G447" t="inlineStr">
        <is>
          <t>FALKENBERG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42658-2024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46223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42798-2024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46223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42799-2024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46223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29201-2023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45105</v>
      </c>
      <c r="E451" s="1" t="n">
        <v>46223</v>
      </c>
      <c r="F451" t="inlineStr">
        <is>
          <t>HALLANDS LÄN</t>
        </is>
      </c>
      <c r="G451" t="inlineStr">
        <is>
          <t>FALKENBERG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19118-2023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45048</v>
      </c>
      <c r="E452" s="1" t="n">
        <v>46223</v>
      </c>
      <c r="F452" t="inlineStr">
        <is>
          <t>HALLANDS LÄN</t>
        </is>
      </c>
      <c r="G452" t="inlineStr">
        <is>
          <t>FALKENBERG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46223</v>
      </c>
      <c r="F453" t="inlineStr">
        <is>
          <t>HALLANDS LÄN</t>
        </is>
      </c>
      <c r="G453" t="inlineStr">
        <is>
          <t>FALKENBERG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35841-2023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46223</v>
      </c>
      <c r="F454" t="inlineStr">
        <is>
          <t>HALLANDS LÄN</t>
        </is>
      </c>
      <c r="G454" t="inlineStr">
        <is>
          <t>FALKENBERG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46223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10249-2023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44986</v>
      </c>
      <c r="E456" s="1" t="n">
        <v>46223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10270-2022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44622</v>
      </c>
      <c r="E457" s="1" t="n">
        <v>46223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9270-2025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45714</v>
      </c>
      <c r="E458" s="1" t="n">
        <v>46223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28946-2024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46223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12076-2024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45377</v>
      </c>
      <c r="E460" s="1" t="n">
        <v>46223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39570-2024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45552</v>
      </c>
      <c r="E461" s="1" t="n">
        <v>46223</v>
      </c>
      <c r="F461" t="inlineStr">
        <is>
          <t>HALLANDS LÄN</t>
        </is>
      </c>
      <c r="G461" t="inlineStr">
        <is>
          <t>FALKENBERG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46223</v>
      </c>
      <c r="F462" t="inlineStr">
        <is>
          <t>HALLANDS LÄN</t>
        </is>
      </c>
      <c r="G462" t="inlineStr">
        <is>
          <t>FALKENBERG</t>
        </is>
      </c>
      <c r="H462" t="inlineStr">
        <is>
          <t>Kommuner</t>
        </is>
      </c>
      <c r="I462" t="n">
        <v>8.4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3092-2025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45678</v>
      </c>
      <c r="E463" s="1" t="n">
        <v>46223</v>
      </c>
      <c r="F463" t="inlineStr">
        <is>
          <t>HALLANDS LÄN</t>
        </is>
      </c>
      <c r="G463" t="inlineStr">
        <is>
          <t>FALKENBERG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15427-2024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45401</v>
      </c>
      <c r="E464" s="1" t="n">
        <v>46223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9354-2025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46223</v>
      </c>
      <c r="F465" t="inlineStr">
        <is>
          <t>HALLANDS LÄN</t>
        </is>
      </c>
      <c r="G465" t="inlineStr">
        <is>
          <t>FALKENBERG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47698-2024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46223</v>
      </c>
      <c r="F466" t="inlineStr">
        <is>
          <t>HALLANDS LÄN</t>
        </is>
      </c>
      <c r="G466" t="inlineStr">
        <is>
          <t>FALKENBERG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46223</v>
      </c>
      <c r="F467" t="inlineStr">
        <is>
          <t>HALLANDS LÄN</t>
        </is>
      </c>
      <c r="G467" t="inlineStr">
        <is>
          <t>FALKENBERG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13113-2022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44644</v>
      </c>
      <c r="E468" s="1" t="n">
        <v>46223</v>
      </c>
      <c r="F468" t="inlineStr">
        <is>
          <t>HALLANDS LÄN</t>
        </is>
      </c>
      <c r="G468" t="inlineStr">
        <is>
          <t>FALKENBERG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45190</v>
      </c>
      <c r="E469" s="1" t="n">
        <v>46223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73973-2021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44554</v>
      </c>
      <c r="E470" s="1" t="n">
        <v>46223</v>
      </c>
      <c r="F470" t="inlineStr">
        <is>
          <t>HALLANDS LÄN</t>
        </is>
      </c>
      <c r="G470" t="inlineStr">
        <is>
          <t>FALKENBERG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30603-2025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46223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13621-2024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45390</v>
      </c>
      <c r="E472" s="1" t="n">
        <v>46223</v>
      </c>
      <c r="F472" t="inlineStr">
        <is>
          <t>HALLANDS LÄN</t>
        </is>
      </c>
      <c r="G472" t="inlineStr">
        <is>
          <t>FALKENBERG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50647-2024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45601</v>
      </c>
      <c r="E473" s="1" t="n">
        <v>46223</v>
      </c>
      <c r="F473" t="inlineStr">
        <is>
          <t>HALLANDS LÄN</t>
        </is>
      </c>
      <c r="G473" t="inlineStr">
        <is>
          <t>FALKENBERG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20349-2024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46223</v>
      </c>
      <c r="F474" t="inlineStr">
        <is>
          <t>HALLANDS LÄN</t>
        </is>
      </c>
      <c r="G474" t="inlineStr">
        <is>
          <t>FALKENBERG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19060-2025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45764</v>
      </c>
      <c r="E475" s="1" t="n">
        <v>46223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35498-2025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45856</v>
      </c>
      <c r="E476" s="1" t="n">
        <v>46223</v>
      </c>
      <c r="F476" t="inlineStr">
        <is>
          <t>HALLANDS LÄN</t>
        </is>
      </c>
      <c r="G476" t="inlineStr">
        <is>
          <t>FALKENBERG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45709</v>
      </c>
      <c r="E477" s="1" t="n">
        <v>46223</v>
      </c>
      <c r="F477" t="inlineStr">
        <is>
          <t>HALLANDS LÄN</t>
        </is>
      </c>
      <c r="G477" t="inlineStr">
        <is>
          <t>FALKENBERG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54659-2024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46223</v>
      </c>
      <c r="F478" t="inlineStr">
        <is>
          <t>HALLANDS LÄN</t>
        </is>
      </c>
      <c r="G478" t="inlineStr">
        <is>
          <t>FALKENBERG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27036-2025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45811</v>
      </c>
      <c r="E479" s="1" t="n">
        <v>46223</v>
      </c>
      <c r="F479" t="inlineStr">
        <is>
          <t>HALLANDS LÄN</t>
        </is>
      </c>
      <c r="G479" t="inlineStr">
        <is>
          <t>FALKENBERG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60472-2024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45643</v>
      </c>
      <c r="E480" s="1" t="n">
        <v>46223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43045-2023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46223</v>
      </c>
      <c r="F481" t="inlineStr">
        <is>
          <t>HALLANDS LÄN</t>
        </is>
      </c>
      <c r="G481" t="inlineStr">
        <is>
          <t>FALKENBERG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16405-2025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46223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43883-2023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46223</v>
      </c>
      <c r="F483" t="inlineStr">
        <is>
          <t>HALLANDS LÄN</t>
        </is>
      </c>
      <c r="G483" t="inlineStr">
        <is>
          <t>FALKENBERG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33786-2025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46223</v>
      </c>
      <c r="F484" t="inlineStr">
        <is>
          <t>HALLANDS LÄN</t>
        </is>
      </c>
      <c r="G484" t="inlineStr">
        <is>
          <t>FALKENBERG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46223</v>
      </c>
      <c r="F485" t="inlineStr">
        <is>
          <t>HALLANDS LÄN</t>
        </is>
      </c>
      <c r="G485" t="inlineStr">
        <is>
          <t>FALKENBERG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15492-2024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45401</v>
      </c>
      <c r="E486" s="1" t="n">
        <v>46223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20352-2024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46223</v>
      </c>
      <c r="F487" t="inlineStr">
        <is>
          <t>HALLANDS LÄN</t>
        </is>
      </c>
      <c r="G487" t="inlineStr">
        <is>
          <t>FALKENBERG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17373-2024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45414</v>
      </c>
      <c r="E488" s="1" t="n">
        <v>46223</v>
      </c>
      <c r="F488" t="inlineStr">
        <is>
          <t>HALLANDS LÄN</t>
        </is>
      </c>
      <c r="G488" t="inlineStr">
        <is>
          <t>FALKENBERG</t>
        </is>
      </c>
      <c r="H488" t="inlineStr">
        <is>
          <t>Kyrkan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38010-2022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46223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26262-2026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46182</v>
      </c>
      <c r="E490" s="1" t="n">
        <v>46223</v>
      </c>
      <c r="F490" t="inlineStr">
        <is>
          <t>HALLANDS LÄN</t>
        </is>
      </c>
      <c r="G490" t="inlineStr">
        <is>
          <t>FALKENBERG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44087-2023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45188</v>
      </c>
      <c r="E491" s="1" t="n">
        <v>46223</v>
      </c>
      <c r="F491" t="inlineStr">
        <is>
          <t>HALLANDS LÄN</t>
        </is>
      </c>
      <c r="G491" t="inlineStr">
        <is>
          <t>FALKENBERG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42606-2023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46223</v>
      </c>
      <c r="F492" t="inlineStr">
        <is>
          <t>HALLANDS LÄN</t>
        </is>
      </c>
      <c r="G492" t="inlineStr">
        <is>
          <t>FALKENBERG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15858-2022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46223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26770-2026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46223</v>
      </c>
      <c r="F494" t="inlineStr">
        <is>
          <t>HALLANDS LÄN</t>
        </is>
      </c>
      <c r="G494" t="inlineStr">
        <is>
          <t>FALKENBERG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45680</v>
      </c>
      <c r="E495" s="1" t="n">
        <v>46223</v>
      </c>
      <c r="F495" t="inlineStr">
        <is>
          <t>HALLANDS LÄN</t>
        </is>
      </c>
      <c r="G495" t="inlineStr">
        <is>
          <t>FALKENBERG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45679</v>
      </c>
      <c r="E496" s="1" t="n">
        <v>46223</v>
      </c>
      <c r="F496" t="inlineStr">
        <is>
          <t>HALLANDS LÄN</t>
        </is>
      </c>
      <c r="G496" t="inlineStr">
        <is>
          <t>FALKENBERG</t>
        </is>
      </c>
      <c r="H496" t="inlineStr">
        <is>
          <t>Kyrkan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26368-2026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46223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38905-2023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46223</v>
      </c>
      <c r="F498" t="inlineStr">
        <is>
          <t>HALLANDS LÄN</t>
        </is>
      </c>
      <c r="G498" t="inlineStr">
        <is>
          <t>FALKENBERG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42915-2023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45182</v>
      </c>
      <c r="E499" s="1" t="n">
        <v>46223</v>
      </c>
      <c r="F499" t="inlineStr">
        <is>
          <t>HALLANDS LÄN</t>
        </is>
      </c>
      <c r="G499" t="inlineStr">
        <is>
          <t>FALKENBERG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44133-2023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46223</v>
      </c>
      <c r="F500" t="inlineStr">
        <is>
          <t>HALLANDS LÄN</t>
        </is>
      </c>
      <c r="G500" t="inlineStr">
        <is>
          <t>FALKENBERG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26697-2026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46223</v>
      </c>
      <c r="F501" t="inlineStr">
        <is>
          <t>HALLANDS LÄN</t>
        </is>
      </c>
      <c r="G501" t="inlineStr">
        <is>
          <t>FALKENBERG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33484-2023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46223</v>
      </c>
      <c r="F502" t="inlineStr">
        <is>
          <t>HALLANDS LÄN</t>
        </is>
      </c>
      <c r="G502" t="inlineStr">
        <is>
          <t>FALKENBERG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20912-2026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46223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55876-2023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45239</v>
      </c>
      <c r="E504" s="1" t="n">
        <v>46223</v>
      </c>
      <c r="F504" t="inlineStr">
        <is>
          <t>HALLANDS LÄN</t>
        </is>
      </c>
      <c r="G504" t="inlineStr">
        <is>
          <t>FALKENBERG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46223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21008-2026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46142</v>
      </c>
      <c r="E506" s="1" t="n">
        <v>46223</v>
      </c>
      <c r="F506" t="inlineStr">
        <is>
          <t>HALLANDS LÄN</t>
        </is>
      </c>
      <c r="G506" t="inlineStr">
        <is>
          <t>FALKENBERG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46223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18270-2025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45762</v>
      </c>
      <c r="E508" s="1" t="n">
        <v>46223</v>
      </c>
      <c r="F508" t="inlineStr">
        <is>
          <t>HALLANDS LÄN</t>
        </is>
      </c>
      <c r="G508" t="inlineStr">
        <is>
          <t>FALKENBERG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7004-2024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46223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10746-2022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44627</v>
      </c>
      <c r="E510" s="1" t="n">
        <v>46223</v>
      </c>
      <c r="F510" t="inlineStr">
        <is>
          <t>HALLANDS LÄN</t>
        </is>
      </c>
      <c r="G510" t="inlineStr">
        <is>
          <t>FALKENBERG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63033-2023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45272</v>
      </c>
      <c r="E511" s="1" t="n">
        <v>46223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46223</v>
      </c>
      <c r="F512" t="inlineStr">
        <is>
          <t>HALLANDS LÄN</t>
        </is>
      </c>
      <c r="G512" t="inlineStr">
        <is>
          <t>FALKENBERG</t>
        </is>
      </c>
      <c r="H512" t="inlineStr">
        <is>
          <t>Kommuner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26310-2023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46223</v>
      </c>
      <c r="F513" t="inlineStr">
        <is>
          <t>HALLANDS LÄN</t>
        </is>
      </c>
      <c r="G513" t="inlineStr">
        <is>
          <t>FALKENBERG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31856-2023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46223</v>
      </c>
      <c r="F514" t="inlineStr">
        <is>
          <t>HALLANDS LÄN</t>
        </is>
      </c>
      <c r="G514" t="inlineStr">
        <is>
          <t>FALKENBERG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59209-2023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45252</v>
      </c>
      <c r="E515" s="1" t="n">
        <v>46223</v>
      </c>
      <c r="F515" t="inlineStr">
        <is>
          <t>HALLANDS LÄN</t>
        </is>
      </c>
      <c r="G515" t="inlineStr">
        <is>
          <t>FALKENBERG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33041-2022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44785</v>
      </c>
      <c r="E516" s="1" t="n">
        <v>46223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64836-2023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45282</v>
      </c>
      <c r="E517" s="1" t="n">
        <v>46223</v>
      </c>
      <c r="F517" t="inlineStr">
        <is>
          <t>HALLANDS LÄN</t>
        </is>
      </c>
      <c r="G517" t="inlineStr">
        <is>
          <t>FALKENBERG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42319-2022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44831</v>
      </c>
      <c r="E518" s="1" t="n">
        <v>46223</v>
      </c>
      <c r="F518" t="inlineStr">
        <is>
          <t>HALLANDS LÄN</t>
        </is>
      </c>
      <c r="G518" t="inlineStr">
        <is>
          <t>FALKENBERG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8908-2024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46223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26312-2023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46223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37018-2024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46223</v>
      </c>
      <c r="F521" t="inlineStr">
        <is>
          <t>HALLANDS LÄN</t>
        </is>
      </c>
      <c r="G521" t="inlineStr">
        <is>
          <t>FALKENBERG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56650-2023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46223</v>
      </c>
      <c r="F522" t="inlineStr">
        <is>
          <t>HALLANDS LÄN</t>
        </is>
      </c>
      <c r="G522" t="inlineStr">
        <is>
          <t>FALKENBERG</t>
        </is>
      </c>
      <c r="I522" t="n">
        <v>29.4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46196</v>
      </c>
      <c r="E523" s="1" t="n">
        <v>46223</v>
      </c>
      <c r="F523" t="inlineStr">
        <is>
          <t>HALLANDS LÄN</t>
        </is>
      </c>
      <c r="G523" t="inlineStr">
        <is>
          <t>FALKENBERG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45691</v>
      </c>
      <c r="E524" s="1" t="n">
        <v>46223</v>
      </c>
      <c r="F524" t="inlineStr">
        <is>
          <t>HALLANDS LÄN</t>
        </is>
      </c>
      <c r="G524" t="inlineStr">
        <is>
          <t>FALKENBERG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46223</v>
      </c>
      <c r="F525" t="inlineStr">
        <is>
          <t>HALLANDS LÄN</t>
        </is>
      </c>
      <c r="G525" t="inlineStr">
        <is>
          <t>FALKENBERG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18803-2023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45044</v>
      </c>
      <c r="E526" s="1" t="n">
        <v>46223</v>
      </c>
      <c r="F526" t="inlineStr">
        <is>
          <t>HALLANDS LÄN</t>
        </is>
      </c>
      <c r="G526" t="inlineStr">
        <is>
          <t>FALKENBERG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54698-2024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45618</v>
      </c>
      <c r="E527" s="1" t="n">
        <v>46223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54700-2024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46223</v>
      </c>
      <c r="F528" t="inlineStr">
        <is>
          <t>HALLANDS LÄN</t>
        </is>
      </c>
      <c r="G528" t="inlineStr">
        <is>
          <t>FALKENBERG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4373-2024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45326</v>
      </c>
      <c r="E529" s="1" t="n">
        <v>46223</v>
      </c>
      <c r="F529" t="inlineStr">
        <is>
          <t>HALLANDS LÄN</t>
        </is>
      </c>
      <c r="G529" t="inlineStr">
        <is>
          <t>FALKENBERG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46223</v>
      </c>
      <c r="F530" t="inlineStr">
        <is>
          <t>HALLANDS LÄN</t>
        </is>
      </c>
      <c r="G530" t="inlineStr">
        <is>
          <t>FALKENBERG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10748-2022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44627</v>
      </c>
      <c r="E531" s="1" t="n">
        <v>46223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58533-2024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46223</v>
      </c>
      <c r="F532" t="inlineStr">
        <is>
          <t>HALLANDS LÄN</t>
        </is>
      </c>
      <c r="G532" t="inlineStr">
        <is>
          <t>FALKENBERG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55270-2022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46223</v>
      </c>
      <c r="F533" t="inlineStr">
        <is>
          <t>HALLANDS LÄN</t>
        </is>
      </c>
      <c r="G533" t="inlineStr">
        <is>
          <t>FALKENBERG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48200-2025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45933</v>
      </c>
      <c r="E534" s="1" t="n">
        <v>46223</v>
      </c>
      <c r="F534" t="inlineStr">
        <is>
          <t>HALLANDS LÄN</t>
        </is>
      </c>
      <c r="G534" t="inlineStr">
        <is>
          <t>FALKENBERG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53478-2025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45959</v>
      </c>
      <c r="E535" s="1" t="n">
        <v>46223</v>
      </c>
      <c r="F535" t="inlineStr">
        <is>
          <t>HALLANDS LÄN</t>
        </is>
      </c>
      <c r="G535" t="inlineStr">
        <is>
          <t>FALKENBERG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46223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19312-2022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44692</v>
      </c>
      <c r="E537" s="1" t="n">
        <v>46223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41702-2024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46223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49609-2023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46223</v>
      </c>
      <c r="F539" t="inlineStr">
        <is>
          <t>HALLANDS LÄN</t>
        </is>
      </c>
      <c r="G539" t="inlineStr">
        <is>
          <t>FALKENBERG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46223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7291-2023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46223</v>
      </c>
      <c r="F541" t="inlineStr">
        <is>
          <t>HALLANDS LÄN</t>
        </is>
      </c>
      <c r="G541" t="inlineStr">
        <is>
          <t>FALKENBERG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29216-2026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46223</v>
      </c>
      <c r="F542" t="inlineStr">
        <is>
          <t>HALLANDS LÄN</t>
        </is>
      </c>
      <c r="G542" t="inlineStr">
        <is>
          <t>FALKENBERG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46223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7314-2024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45345</v>
      </c>
      <c r="E544" s="1" t="n">
        <v>46223</v>
      </c>
      <c r="F544" t="inlineStr">
        <is>
          <t>HALLANDS LÄN</t>
        </is>
      </c>
      <c r="G544" t="inlineStr">
        <is>
          <t>FALKENBERG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29228-2026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46223</v>
      </c>
      <c r="F545" t="inlineStr">
        <is>
          <t>HALLANDS LÄN</t>
        </is>
      </c>
      <c r="G545" t="inlineStr">
        <is>
          <t>FALKENBERG</t>
        </is>
      </c>
      <c r="H545" t="inlineStr">
        <is>
          <t>Bergvik skog väst AB</t>
        </is>
      </c>
      <c r="I545" t="n">
        <v>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29229-2026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46223</v>
      </c>
      <c r="F546" t="inlineStr">
        <is>
          <t>HALLANDS LÄN</t>
        </is>
      </c>
      <c r="G546" t="inlineStr">
        <is>
          <t>FALKENBERG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27545-2026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46223</v>
      </c>
      <c r="F547" t="inlineStr">
        <is>
          <t>HALLANDS LÄN</t>
        </is>
      </c>
      <c r="G547" t="inlineStr">
        <is>
          <t>FALKENBERG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44532-2023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46223</v>
      </c>
      <c r="F548" t="inlineStr">
        <is>
          <t>HALLANDS LÄN</t>
        </is>
      </c>
      <c r="G548" t="inlineStr">
        <is>
          <t>FALKENBERG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44946</v>
      </c>
      <c r="E549" s="1" t="n">
        <v>46223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3175-2023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46223</v>
      </c>
      <c r="F550" t="inlineStr">
        <is>
          <t>HALLANDS LÄN</t>
        </is>
      </c>
      <c r="G550" t="inlineStr">
        <is>
          <t>FALKENBERG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29104-2026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46200</v>
      </c>
      <c r="E551" s="1" t="n">
        <v>46223</v>
      </c>
      <c r="F551" t="inlineStr">
        <is>
          <t>HALLANDS LÄN</t>
        </is>
      </c>
      <c r="G551" t="inlineStr">
        <is>
          <t>FALKENBERG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46223</v>
      </c>
      <c r="F552" t="inlineStr">
        <is>
          <t>HALLANDS LÄN</t>
        </is>
      </c>
      <c r="G552" t="inlineStr">
        <is>
          <t>FALKENBERG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8266-2023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44974</v>
      </c>
      <c r="E553" s="1" t="n">
        <v>46223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29346-2026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46203</v>
      </c>
      <c r="E554" s="1" t="n">
        <v>46223</v>
      </c>
      <c r="F554" t="inlineStr">
        <is>
          <t>HALLANDS LÄN</t>
        </is>
      </c>
      <c r="G554" t="inlineStr">
        <is>
          <t>FALKENBERG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42656-2024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46223</v>
      </c>
      <c r="F555" t="inlineStr">
        <is>
          <t>HALLANDS LÄN</t>
        </is>
      </c>
      <c r="G555" t="inlineStr">
        <is>
          <t>FALKENBERG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37150-2022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46223</v>
      </c>
      <c r="F556" t="inlineStr">
        <is>
          <t>HALLANDS LÄN</t>
        </is>
      </c>
      <c r="G556" t="inlineStr">
        <is>
          <t>FALKENBERG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66135-2021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44517</v>
      </c>
      <c r="E557" s="1" t="n">
        <v>46223</v>
      </c>
      <c r="F557" t="inlineStr">
        <is>
          <t>HALLANDS LÄN</t>
        </is>
      </c>
      <c r="G557" t="inlineStr">
        <is>
          <t>FALKENBERG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44040-2023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46223</v>
      </c>
      <c r="F558" t="inlineStr">
        <is>
          <t>HALLANDS LÄN</t>
        </is>
      </c>
      <c r="G558" t="inlineStr">
        <is>
          <t>FALKENBERG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43046-2023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46223</v>
      </c>
      <c r="F559" t="inlineStr">
        <is>
          <t>HALLANDS LÄN</t>
        </is>
      </c>
      <c r="G559" t="inlineStr">
        <is>
          <t>FALKENBERG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20044-2025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46223</v>
      </c>
      <c r="F560" t="inlineStr">
        <is>
          <t>HALLANDS LÄN</t>
        </is>
      </c>
      <c r="G560" t="inlineStr">
        <is>
          <t>FALKENBERG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23394-2026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46223</v>
      </c>
      <c r="F561" t="inlineStr">
        <is>
          <t>HALLANDS LÄN</t>
        </is>
      </c>
      <c r="G561" t="inlineStr">
        <is>
          <t>FALKENBERG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13845-2024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45391</v>
      </c>
      <c r="E562" s="1" t="n">
        <v>46223</v>
      </c>
      <c r="F562" t="inlineStr">
        <is>
          <t>HALLANDS LÄN</t>
        </is>
      </c>
      <c r="G562" t="inlineStr">
        <is>
          <t>FALKENBERG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12606-2024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45381</v>
      </c>
      <c r="E563" s="1" t="n">
        <v>46223</v>
      </c>
      <c r="F563" t="inlineStr">
        <is>
          <t>HALLANDS LÄN</t>
        </is>
      </c>
      <c r="G563" t="inlineStr">
        <is>
          <t>FALKENBERG</t>
        </is>
      </c>
      <c r="I563" t="n">
        <v>14.4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12680-2024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45384</v>
      </c>
      <c r="E564" s="1" t="n">
        <v>46223</v>
      </c>
      <c r="F564" t="inlineStr">
        <is>
          <t>HALLANDS LÄN</t>
        </is>
      </c>
      <c r="G564" t="inlineStr">
        <is>
          <t>FALKENBERG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29142-2024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45482</v>
      </c>
      <c r="E565" s="1" t="n">
        <v>46223</v>
      </c>
      <c r="F565" t="inlineStr">
        <is>
          <t>HALLANDS LÄN</t>
        </is>
      </c>
      <c r="G565" t="inlineStr">
        <is>
          <t>FALKENBERG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29345-2026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46223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9999-2024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46223</v>
      </c>
      <c r="F567" t="inlineStr">
        <is>
          <t>HALLANDS LÄN</t>
        </is>
      </c>
      <c r="G567" t="inlineStr">
        <is>
          <t>FALKENBERG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17450-2023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46223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20353-2024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45435</v>
      </c>
      <c r="E569" s="1" t="n">
        <v>46223</v>
      </c>
      <c r="F569" t="inlineStr">
        <is>
          <t>HALLANDS LÄN</t>
        </is>
      </c>
      <c r="G569" t="inlineStr">
        <is>
          <t>FALKENBERG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9798-2023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44984</v>
      </c>
      <c r="E570" s="1" t="n">
        <v>46223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46223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23666-2026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46223</v>
      </c>
      <c r="F572" t="inlineStr">
        <is>
          <t>HALLANDS LÄN</t>
        </is>
      </c>
      <c r="G572" t="inlineStr">
        <is>
          <t>FALKENBERG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23675-2026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46223</v>
      </c>
      <c r="F573" t="inlineStr">
        <is>
          <t>HALLANDS LÄN</t>
        </is>
      </c>
      <c r="G573" t="inlineStr">
        <is>
          <t>FALKENBERG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23395-2026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46223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23455-2023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46223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23695-2026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46223</v>
      </c>
      <c r="F576" t="inlineStr">
        <is>
          <t>HALLANDS LÄN</t>
        </is>
      </c>
      <c r="G576" t="inlineStr">
        <is>
          <t>FALKENBERG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23705-2026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46223</v>
      </c>
      <c r="F577" t="inlineStr">
        <is>
          <t>HALLANDS LÄN</t>
        </is>
      </c>
      <c r="G577" t="inlineStr">
        <is>
          <t>FALKENBERG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23708-2026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46223</v>
      </c>
      <c r="F578" t="inlineStr">
        <is>
          <t>HALLANDS LÄN</t>
        </is>
      </c>
      <c r="G578" t="inlineStr">
        <is>
          <t>FALKENBERG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10821-2024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45369</v>
      </c>
      <c r="E579" s="1" t="n">
        <v>46223</v>
      </c>
      <c r="F579" t="inlineStr">
        <is>
          <t>HALLANDS LÄN</t>
        </is>
      </c>
      <c r="G579" t="inlineStr">
        <is>
          <t>FALKENBERG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38462-2024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45546</v>
      </c>
      <c r="E580" s="1" t="n">
        <v>46223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45700-2025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45923</v>
      </c>
      <c r="E581" s="1" t="n">
        <v>46223</v>
      </c>
      <c r="F581" t="inlineStr">
        <is>
          <t>HALLANDS LÄN</t>
        </is>
      </c>
      <c r="G581" t="inlineStr">
        <is>
          <t>FALKENBERG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59208-2023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45252</v>
      </c>
      <c r="E582" s="1" t="n">
        <v>46223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50633-2024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46223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23829-2026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46166</v>
      </c>
      <c r="E584" s="1" t="n">
        <v>46223</v>
      </c>
      <c r="F584" t="inlineStr">
        <is>
          <t>HALLANDS LÄN</t>
        </is>
      </c>
      <c r="G584" t="inlineStr">
        <is>
          <t>FALKENBERG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4062-2024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45323</v>
      </c>
      <c r="E585" s="1" t="n">
        <v>46223</v>
      </c>
      <c r="F585" t="inlineStr">
        <is>
          <t>HALLANDS LÄN</t>
        </is>
      </c>
      <c r="G585" t="inlineStr">
        <is>
          <t>FALKENBERG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56260-2024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45624</v>
      </c>
      <c r="E586" s="1" t="n">
        <v>46223</v>
      </c>
      <c r="F586" t="inlineStr">
        <is>
          <t>HALLANDS LÄN</t>
        </is>
      </c>
      <c r="G586" t="inlineStr">
        <is>
          <t>FALKENBERG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12300-2026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46223</v>
      </c>
      <c r="F587" t="inlineStr">
        <is>
          <t>HALLANDS LÄN</t>
        </is>
      </c>
      <c r="G587" t="inlineStr">
        <is>
          <t>FALKENBERG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14331-2022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44652</v>
      </c>
      <c r="E588" s="1" t="n">
        <v>46223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45681</v>
      </c>
      <c r="E589" s="1" t="n">
        <v>46223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45682</v>
      </c>
      <c r="E590" s="1" t="n">
        <v>46223</v>
      </c>
      <c r="F590" t="inlineStr">
        <is>
          <t>HALLANDS LÄN</t>
        </is>
      </c>
      <c r="G590" t="inlineStr">
        <is>
          <t>FALKENBERG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45682</v>
      </c>
      <c r="E591" s="1" t="n">
        <v>46223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57493-2023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46223</v>
      </c>
      <c r="F592" t="inlineStr">
        <is>
          <t>HALLANDS LÄN</t>
        </is>
      </c>
      <c r="G592" t="inlineStr">
        <is>
          <t>FALKENBERG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46223</v>
      </c>
      <c r="F593" t="inlineStr">
        <is>
          <t>HALLANDS LÄN</t>
        </is>
      </c>
      <c r="G593" t="inlineStr">
        <is>
          <t>FALKENBERG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45321</v>
      </c>
      <c r="E594" s="1" t="n">
        <v>46223</v>
      </c>
      <c r="F594" t="inlineStr">
        <is>
          <t>HALLANDS LÄN</t>
        </is>
      </c>
      <c r="G594" t="inlineStr">
        <is>
          <t>FALKENBERG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44574</v>
      </c>
      <c r="E595" s="1" t="n">
        <v>46223</v>
      </c>
      <c r="F595" t="inlineStr">
        <is>
          <t>HALLANDS LÄN</t>
        </is>
      </c>
      <c r="G595" t="inlineStr">
        <is>
          <t>FALKENBERG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46223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30790-2026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46212</v>
      </c>
      <c r="E597" s="1" t="n">
        <v>46223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30715-2026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46211</v>
      </c>
      <c r="E598" s="1" t="n">
        <v>46223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8900-2024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45357</v>
      </c>
      <c r="E599" s="1" t="n">
        <v>46223</v>
      </c>
      <c r="F599" t="inlineStr">
        <is>
          <t>HALLANDS LÄN</t>
        </is>
      </c>
      <c r="G599" t="inlineStr">
        <is>
          <t>FALKENBERG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33250-2023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45127</v>
      </c>
      <c r="E600" s="1" t="n">
        <v>46223</v>
      </c>
      <c r="F600" t="inlineStr">
        <is>
          <t>HALLANDS LÄN</t>
        </is>
      </c>
      <c r="G600" t="inlineStr">
        <is>
          <t>FALKENBERG</t>
        </is>
      </c>
      <c r="H600" t="inlineStr">
        <is>
          <t>Kommuner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30783-2026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46223</v>
      </c>
      <c r="F601" t="inlineStr">
        <is>
          <t>HALLANDS LÄN</t>
        </is>
      </c>
      <c r="G601" t="inlineStr">
        <is>
          <t>FALKENBERG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46223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49126-2021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44453</v>
      </c>
      <c r="E603" s="1" t="n">
        <v>46223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39074-2024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45548</v>
      </c>
      <c r="E604" s="1" t="n">
        <v>46223</v>
      </c>
      <c r="F604" t="inlineStr">
        <is>
          <t>HALLANDS LÄN</t>
        </is>
      </c>
      <c r="G604" t="inlineStr">
        <is>
          <t>FALKENBERG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22109-2025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45785</v>
      </c>
      <c r="E605" s="1" t="n">
        <v>46223</v>
      </c>
      <c r="F605" t="inlineStr">
        <is>
          <t>HALLANDS LÄN</t>
        </is>
      </c>
      <c r="G605" t="inlineStr">
        <is>
          <t>FALKENBERG</t>
        </is>
      </c>
      <c r="I605" t="n">
        <v>11.5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18813-2023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45044</v>
      </c>
      <c r="E606" s="1" t="n">
        <v>46223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11574-2022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44631</v>
      </c>
      <c r="E607" s="1" t="n">
        <v>46223</v>
      </c>
      <c r="F607" t="inlineStr">
        <is>
          <t>HALLANDS LÄN</t>
        </is>
      </c>
      <c r="G607" t="inlineStr">
        <is>
          <t>FALKENBERG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24804-2026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46172</v>
      </c>
      <c r="E608" s="1" t="n">
        <v>46223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18773-2022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44689</v>
      </c>
      <c r="E609" s="1" t="n">
        <v>46223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18710-2022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44687</v>
      </c>
      <c r="E610" s="1" t="n">
        <v>46223</v>
      </c>
      <c r="F610" t="inlineStr">
        <is>
          <t>HALLANDS LÄN</t>
        </is>
      </c>
      <c r="G610" t="inlineStr">
        <is>
          <t>FALKENBERG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46223</v>
      </c>
      <c r="F611" t="inlineStr">
        <is>
          <t>HALLANDS LÄN</t>
        </is>
      </c>
      <c r="G611" t="inlineStr">
        <is>
          <t>FALKENBERG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24480-2026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46223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46223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45664</v>
      </c>
      <c r="E614" s="1" t="n">
        <v>46223</v>
      </c>
      <c r="F614" t="inlineStr">
        <is>
          <t>HALLANDS LÄN</t>
        </is>
      </c>
      <c r="G614" t="inlineStr">
        <is>
          <t>FALKENBERG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57433-2024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46223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12803-2022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44642</v>
      </c>
      <c r="E616" s="1" t="n">
        <v>46223</v>
      </c>
      <c r="F616" t="inlineStr">
        <is>
          <t>HALLANDS LÄN</t>
        </is>
      </c>
      <c r="G616" t="inlineStr">
        <is>
          <t>FALKENBERG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31189-2026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46223</v>
      </c>
      <c r="F617" t="inlineStr">
        <is>
          <t>HALLANDS LÄN</t>
        </is>
      </c>
      <c r="G617" t="inlineStr">
        <is>
          <t>FALKENBERG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4441-2025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45686</v>
      </c>
      <c r="E618" s="1" t="n">
        <v>46223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39573-2024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45552</v>
      </c>
      <c r="E619" s="1" t="n">
        <v>46223</v>
      </c>
      <c r="F619" t="inlineStr">
        <is>
          <t>HALLANDS LÄN</t>
        </is>
      </c>
      <c r="G619" t="inlineStr">
        <is>
          <t>FALKENBERG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8058-2024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45351</v>
      </c>
      <c r="E620" s="1" t="n">
        <v>46223</v>
      </c>
      <c r="F620" t="inlineStr">
        <is>
          <t>HALLANDS LÄN</t>
        </is>
      </c>
      <c r="G620" t="inlineStr">
        <is>
          <t>FALKENBERG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45914-2022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44846</v>
      </c>
      <c r="E621" s="1" t="n">
        <v>46223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4326-2024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46223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56656-2023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45243</v>
      </c>
      <c r="E623" s="1" t="n">
        <v>46223</v>
      </c>
      <c r="F623" t="inlineStr">
        <is>
          <t>HALLANDS LÄN</t>
        </is>
      </c>
      <c r="G623" t="inlineStr">
        <is>
          <t>FALKENBERG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29701-2026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46223</v>
      </c>
      <c r="F624" t="inlineStr">
        <is>
          <t>HALLANDS LÄN</t>
        </is>
      </c>
      <c r="G624" t="inlineStr">
        <is>
          <t>FALKENBERG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32402-2023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45120</v>
      </c>
      <c r="E625" s="1" t="n">
        <v>46223</v>
      </c>
      <c r="F625" t="inlineStr">
        <is>
          <t>HALLANDS LÄN</t>
        </is>
      </c>
      <c r="G625" t="inlineStr">
        <is>
          <t>FALKENBERG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17745-2023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46223</v>
      </c>
      <c r="F626" t="inlineStr">
        <is>
          <t>HALLANDS LÄN</t>
        </is>
      </c>
      <c r="G626" t="inlineStr">
        <is>
          <t>FALKENBERG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10252-2023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44986</v>
      </c>
      <c r="E627" s="1" t="n">
        <v>46223</v>
      </c>
      <c r="F627" t="inlineStr">
        <is>
          <t>HALLANDS LÄN</t>
        </is>
      </c>
      <c r="G627" t="inlineStr">
        <is>
          <t>FALKENBERG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25859-2026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46223</v>
      </c>
      <c r="F628" t="inlineStr">
        <is>
          <t>HALLANDS LÄN</t>
        </is>
      </c>
      <c r="G628" t="inlineStr">
        <is>
          <t>FALKENBERG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45681</v>
      </c>
      <c r="E629" s="1" t="n">
        <v>46223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62534-2025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46007</v>
      </c>
      <c r="E630" s="1" t="n">
        <v>46223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46223</v>
      </c>
      <c r="F631" t="inlineStr">
        <is>
          <t>HALLANDS LÄN</t>
        </is>
      </c>
      <c r="G631" t="inlineStr">
        <is>
          <t>FALKENBERG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5796-2023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44963</v>
      </c>
      <c r="E632" s="1" t="n">
        <v>46223</v>
      </c>
      <c r="F632" t="inlineStr">
        <is>
          <t>HALLANDS LÄN</t>
        </is>
      </c>
      <c r="G632" t="inlineStr">
        <is>
          <t>FALKENBERG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58939-2022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46223</v>
      </c>
      <c r="F633" t="inlineStr">
        <is>
          <t>HALLANDS LÄN</t>
        </is>
      </c>
      <c r="G633" t="inlineStr">
        <is>
          <t>FALKENBERG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51391-2023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45219</v>
      </c>
      <c r="E634" s="1" t="n">
        <v>46223</v>
      </c>
      <c r="F634" t="inlineStr">
        <is>
          <t>HALLANDS LÄN</t>
        </is>
      </c>
      <c r="G634" t="inlineStr">
        <is>
          <t>FALKENBERG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4713-2023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44957</v>
      </c>
      <c r="E635" s="1" t="n">
        <v>46223</v>
      </c>
      <c r="F635" t="inlineStr">
        <is>
          <t>HALLANDS LÄN</t>
        </is>
      </c>
      <c r="G635" t="inlineStr">
        <is>
          <t>FALKENBERG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16430-2023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46223</v>
      </c>
      <c r="F636" t="inlineStr">
        <is>
          <t>HALLANDS LÄN</t>
        </is>
      </c>
      <c r="G636" t="inlineStr">
        <is>
          <t>FALKENBERG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44986</v>
      </c>
      <c r="E637" s="1" t="n">
        <v>46223</v>
      </c>
      <c r="F637" t="inlineStr">
        <is>
          <t>HALLANDS LÄN</t>
        </is>
      </c>
      <c r="G637" t="inlineStr">
        <is>
          <t>FALKENBERG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12939-2023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45001</v>
      </c>
      <c r="E638" s="1" t="n">
        <v>46223</v>
      </c>
      <c r="F638" t="inlineStr">
        <is>
          <t>HALLANDS LÄN</t>
        </is>
      </c>
      <c r="G638" t="inlineStr">
        <is>
          <t>FALKENBERG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54125-2024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46223</v>
      </c>
      <c r="F639" t="inlineStr">
        <is>
          <t>HALLANDS LÄN</t>
        </is>
      </c>
      <c r="G639" t="inlineStr">
        <is>
          <t>FALKENBERG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1214-2025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45667</v>
      </c>
      <c r="E640" s="1" t="n">
        <v>46223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33247-2023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45127</v>
      </c>
      <c r="E641" s="1" t="n">
        <v>46223</v>
      </c>
      <c r="F641" t="inlineStr">
        <is>
          <t>HALLANDS LÄN</t>
        </is>
      </c>
      <c r="G641" t="inlineStr">
        <is>
          <t>FALKENBERG</t>
        </is>
      </c>
      <c r="H641" t="inlineStr">
        <is>
          <t>Kommuner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52852-2023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45226</v>
      </c>
      <c r="E642" s="1" t="n">
        <v>46223</v>
      </c>
      <c r="F642" t="inlineStr">
        <is>
          <t>HALLANDS LÄN</t>
        </is>
      </c>
      <c r="G642" t="inlineStr">
        <is>
          <t>FALKENBERG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3743-2025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45681</v>
      </c>
      <c r="E643" s="1" t="n">
        <v>46223</v>
      </c>
      <c r="F643" t="inlineStr">
        <is>
          <t>HALLANDS LÄN</t>
        </is>
      </c>
      <c r="G643" t="inlineStr">
        <is>
          <t>FALKENBERG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761-2024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46223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10268-2022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44622</v>
      </c>
      <c r="E645" s="1" t="n">
        <v>46223</v>
      </c>
      <c r="F645" t="inlineStr">
        <is>
          <t>HALLANDS LÄN</t>
        </is>
      </c>
      <c r="G645" t="inlineStr">
        <is>
          <t>FALKENBERG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1294-2025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45667</v>
      </c>
      <c r="E646" s="1" t="n">
        <v>46223</v>
      </c>
      <c r="F646" t="inlineStr">
        <is>
          <t>HALLANDS LÄN</t>
        </is>
      </c>
      <c r="G646" t="inlineStr">
        <is>
          <t>FALKENBERG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20907-2025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45777</v>
      </c>
      <c r="E647" s="1" t="n">
        <v>46223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21512-2025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46223</v>
      </c>
      <c r="F648" t="inlineStr">
        <is>
          <t>HALLANDS LÄN</t>
        </is>
      </c>
      <c r="G648" t="inlineStr">
        <is>
          <t>FALKENBERG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63852-2023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46223</v>
      </c>
      <c r="F649" t="inlineStr">
        <is>
          <t>HALLANDS LÄN</t>
        </is>
      </c>
      <c r="G649" t="inlineStr">
        <is>
          <t>FALKENBERG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22094-2025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45785</v>
      </c>
      <c r="E650" s="1" t="n">
        <v>46223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22100-2025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45785</v>
      </c>
      <c r="E651" s="1" t="n">
        <v>46223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14505-2025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46223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21925-2024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45443</v>
      </c>
      <c r="E653" s="1" t="n">
        <v>46223</v>
      </c>
      <c r="F653" t="inlineStr">
        <is>
          <t>HALLANDS LÄN</t>
        </is>
      </c>
      <c r="G653" t="inlineStr">
        <is>
          <t>FALKENBERG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22913-2025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45790</v>
      </c>
      <c r="E654" s="1" t="n">
        <v>46223</v>
      </c>
      <c r="F654" t="inlineStr">
        <is>
          <t>HALLANDS LÄN</t>
        </is>
      </c>
      <c r="G654" t="inlineStr">
        <is>
          <t>FALKENBERG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42074-2024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45562</v>
      </c>
      <c r="E655" s="1" t="n">
        <v>46223</v>
      </c>
      <c r="F655" t="inlineStr">
        <is>
          <t>HALLANDS LÄN</t>
        </is>
      </c>
      <c r="G655" t="inlineStr">
        <is>
          <t>FALKENBERG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46522-2024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45582</v>
      </c>
      <c r="E656" s="1" t="n">
        <v>46223</v>
      </c>
      <c r="F656" t="inlineStr">
        <is>
          <t>HALLANDS LÄN</t>
        </is>
      </c>
      <c r="G656" t="inlineStr">
        <is>
          <t>FALKENBERG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54131-2024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46223</v>
      </c>
      <c r="F657" t="inlineStr">
        <is>
          <t>HALLANDS LÄN</t>
        </is>
      </c>
      <c r="G657" t="inlineStr">
        <is>
          <t>FALKENBERG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4440-2025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45686</v>
      </c>
      <c r="E658" s="1" t="n">
        <v>46223</v>
      </c>
      <c r="F658" t="inlineStr">
        <is>
          <t>HALLANDS LÄN</t>
        </is>
      </c>
      <c r="G658" t="inlineStr">
        <is>
          <t>FALKENBERG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45666</v>
      </c>
      <c r="E659" s="1" t="n">
        <v>46223</v>
      </c>
      <c r="F659" t="inlineStr">
        <is>
          <t>HALLANDS LÄN</t>
        </is>
      </c>
      <c r="G659" t="inlineStr">
        <is>
          <t>FALKENBERG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15767-2025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45748</v>
      </c>
      <c r="E660" s="1" t="n">
        <v>46223</v>
      </c>
      <c r="F660" t="inlineStr">
        <is>
          <t>HALLANDS LÄN</t>
        </is>
      </c>
      <c r="G660" t="inlineStr">
        <is>
          <t>FALKENBERG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25071-2025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46223</v>
      </c>
      <c r="F661" t="inlineStr">
        <is>
          <t>HALLANDS LÄN</t>
        </is>
      </c>
      <c r="G661" t="inlineStr">
        <is>
          <t>FALKENBERG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25072-2025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46223</v>
      </c>
      <c r="F662" t="inlineStr">
        <is>
          <t>HALLANDS LÄN</t>
        </is>
      </c>
      <c r="G662" t="inlineStr">
        <is>
          <t>FALKENBERG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24887-2025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46223</v>
      </c>
      <c r="F663" t="inlineStr">
        <is>
          <t>HALLANDS LÄN</t>
        </is>
      </c>
      <c r="G663" t="inlineStr">
        <is>
          <t>FALKENBERG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46223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951-2022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44608</v>
      </c>
      <c r="E665" s="1" t="n">
        <v>46223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1472-2022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44636</v>
      </c>
      <c r="E666" s="1" t="n">
        <v>46223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46223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46223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46223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46223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46223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46223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46223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46223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46223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46223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46223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46223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46223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46223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46223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46223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46223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46223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46223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46223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46223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46223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46223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46223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46223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46223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46223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46223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46223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46223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46223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46223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46223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46223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46223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46223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46223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2026-07-20T01:50:33Z</dcterms:created>
  <dcterms:modified xmlns:dcterms="http://purl.org/dc/terms/" xmlns:xsi="http://www.w3.org/2001/XMLSchema-instance" xsi:type="dcterms:W3CDTF">2026-07-20T01:50:34Z</dcterms:modified>
</cp:coreProperties>
</file>