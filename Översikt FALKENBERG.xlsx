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46262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46262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46262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46262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46262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A 33477-2026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46247</v>
      </c>
      <c r="E7" s="1" t="n">
        <v>46262</v>
      </c>
      <c r="F7" t="inlineStr">
        <is>
          <t>HALLANDS LÄN</t>
        </is>
      </c>
      <c r="G7" t="inlineStr">
        <is>
          <t>FALKENBERG</t>
        </is>
      </c>
      <c r="I7" t="n">
        <v>1.4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Fällmossa
Guldlockmossa
Klippfrullania
Tofsmes</t>
        </is>
      </c>
      <c r="W7">
        <f>HYPERLINK("https://klasma.github.io/Logging_1382/artfynd/A 33477-2026 artfynd.xlsx", "A 33477-2026")</f>
        <v/>
      </c>
      <c r="X7">
        <f>HYPERLINK("https://klasma.github.io/Logging_1382/kartor/A 33477-2026 karta.png", "A 33477-2026")</f>
        <v/>
      </c>
      <c r="Y7">
        <f>HYPERLINK("https://klasma.github.io/Logging_1382/kartor_geotiff/A 33477-2026 georefererad karta.tif", "A 33477-2026")</f>
        <v/>
      </c>
      <c r="AA7">
        <f>HYPERLINK("https://klasma.github.io/Logging_1382/klagomål/A 33477-2026 FSC-klagomål.docx", "A 33477-2026")</f>
        <v/>
      </c>
      <c r="AB7">
        <f>HYPERLINK("https://klasma.github.io/Logging_1382/klagomålsmail/A 33477-2026 FSC-klagomål mail.docx", "A 33477-2026")</f>
        <v/>
      </c>
      <c r="AC7">
        <f>HYPERLINK("https://klasma.github.io/Logging_1382/tillsyn/A 33477-2026 tillsynsbegäran.docx", "A 33477-2026")</f>
        <v/>
      </c>
      <c r="AD7">
        <f>HYPERLINK("https://klasma.github.io/Logging_1382/tillsynsmail/A 33477-2026 tillsynsbegäran mail.docx", "A 33477-2026")</f>
        <v/>
      </c>
      <c r="AE7">
        <f>HYPERLINK("https://klasma.github.io/Logging_1382/fåglar/A 33477-2026 prioriterade fågelarter.docx", "A 33477-2026")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46262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S 1321-2022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44628</v>
      </c>
      <c r="E9" s="1" t="n">
        <v>46262</v>
      </c>
      <c r="F9" t="inlineStr">
        <is>
          <t>HALLANDS LÄN</t>
        </is>
      </c>
      <c r="G9" t="inlineStr">
        <is>
          <t>FALKENBERG</t>
        </is>
      </c>
      <c r="H9" t="inlineStr">
        <is>
          <t>Kommuner</t>
        </is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8</v>
      </c>
      <c r="U9" t="n">
        <v>8</v>
      </c>
      <c r="V9" s="2" t="inlineStr">
        <is>
          <t>Ask
Skogsalm
Björksplintborre
Spillkråka
Gröngöling</t>
        </is>
      </c>
      <c r="W9">
        <f>HYPERLINK("https://klasma.github.io/Logging_1382/artfynd/S 1321-2022 artfynd.xlsx", "S 1321-2022")</f>
        <v/>
      </c>
      <c r="X9">
        <f>HYPERLINK("https://klasma.github.io/Logging_1382/kartor/S 1321-2022 karta.png", "S 1321-2022")</f>
        <v/>
      </c>
      <c r="Y9">
        <f>HYPERLINK("https://klasma.github.io/Logging_1382/kartor_geotiff/S 1321-2022 georefererad karta.tif", "S 1321-2022")</f>
        <v/>
      </c>
      <c r="AA9">
        <f>HYPERLINK("https://klasma.github.io/Logging_1382/klagomål/S 1321-2022 FSC-klagomål.docx", "S 1321-2022")</f>
        <v/>
      </c>
      <c r="AB9">
        <f>HYPERLINK("https://klasma.github.io/Logging_1382/klagomålsmail/S 1321-2022 FSC-klagomål mail.docx", "S 1321-2022")</f>
        <v/>
      </c>
      <c r="AC9">
        <f>HYPERLINK("https://klasma.github.io/Logging_1382/tillsyn/S 1321-2022 tillsynsbegäran.docx", "S 1321-2022")</f>
        <v/>
      </c>
      <c r="AD9">
        <f>HYPERLINK("https://klasma.github.io/Logging_1382/tillsynsmail/S 1321-2022 tillsynsbegäran mail.docx", "S 1321-2022")</f>
        <v/>
      </c>
      <c r="AE9">
        <f>HYPERLINK("https://klasma.github.io/Logging_1382/fåglar/S 1321-2022 prioriterade fågelarter.docx", "S 1321-2022")</f>
        <v/>
      </c>
    </row>
    <row r="10" ht="15" customHeight="1">
      <c r="A10" t="inlineStr">
        <is>
          <t>A 24104-2023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46262</v>
      </c>
      <c r="F10" t="inlineStr">
        <is>
          <t>HALLANDS LÄN</t>
        </is>
      </c>
      <c r="G10" t="inlineStr">
        <is>
          <t>FALKENBERG</t>
        </is>
      </c>
      <c r="I10" t="n">
        <v>0.9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Skrovellav
Ekskinn
Mussellav
Stor knopplav</t>
        </is>
      </c>
      <c r="W10">
        <f>HYPERLINK("https://klasma.github.io/Logging_1382/artfynd/A 24104-2023 artfynd.xlsx", "A 24104-2023")</f>
        <v/>
      </c>
      <c r="X10">
        <f>HYPERLINK("https://klasma.github.io/Logging_1382/kartor/A 24104-2023 karta.png", "A 24104-2023")</f>
        <v/>
      </c>
      <c r="Y10">
        <f>HYPERLINK("https://klasma.github.io/Logging_1382/kartor_geotiff/A 24104-2023 georefererad karta.tif", "A 24104-2023")</f>
        <v/>
      </c>
      <c r="AA10">
        <f>HYPERLINK("https://klasma.github.io/Logging_1382/klagomål/A 24104-2023 FSC-klagomål.docx", "A 24104-2023")</f>
        <v/>
      </c>
      <c r="AB10">
        <f>HYPERLINK("https://klasma.github.io/Logging_1382/klagomålsmail/A 24104-2023 FSC-klagomål mail.docx", "A 24104-2023")</f>
        <v/>
      </c>
      <c r="AC10">
        <f>HYPERLINK("https://klasma.github.io/Logging_1382/tillsyn/A 24104-2023 tillsynsbegäran.docx", "A 24104-2023")</f>
        <v/>
      </c>
      <c r="AD10">
        <f>HYPERLINK("https://klasma.github.io/Logging_1382/tillsynsmail/A 24104-2023 tillsynsbegäran mail.docx", "A 24104-2023")</f>
        <v/>
      </c>
    </row>
    <row r="11" ht="15" customHeight="1">
      <c r="A11" t="inlineStr">
        <is>
          <t>S 647-2024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45356</v>
      </c>
      <c r="E11" s="1" t="n">
        <v>46262</v>
      </c>
      <c r="F11" t="inlineStr">
        <is>
          <t>HALLANDS LÄN</t>
        </is>
      </c>
      <c r="G11" t="inlineStr">
        <is>
          <t>FALKENBERG</t>
        </is>
      </c>
      <c r="I11" t="n">
        <v>86.7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3</v>
      </c>
      <c r="V11" s="2" t="inlineStr">
        <is>
          <t>Hasselmus
Havsörn
Röd glada
Utter</t>
        </is>
      </c>
      <c r="W11">
        <f>HYPERLINK("https://klasma.github.io/Logging_1382/artfynd/S 647-2024 artfynd.xlsx", "S 647-2024")</f>
        <v/>
      </c>
      <c r="X11">
        <f>HYPERLINK("https://klasma.github.io/Logging_1382/kartor/S 647-2024 karta.png", "S 647-2024")</f>
        <v/>
      </c>
      <c r="Y11">
        <f>HYPERLINK("https://klasma.github.io/Logging_1382/kartor_geotiff/S 647-2024 georefererad karta.tif", "S 647-2024")</f>
        <v/>
      </c>
      <c r="AA11">
        <f>HYPERLINK("https://klasma.github.io/Logging_1382/klagomål/S 647-2024 FSC-klagomål.docx", "S 647-2024")</f>
        <v/>
      </c>
      <c r="AB11">
        <f>HYPERLINK("https://klasma.github.io/Logging_1382/klagomålsmail/S 647-2024 FSC-klagomål mail.docx", "S 647-2024")</f>
        <v/>
      </c>
      <c r="AC11">
        <f>HYPERLINK("https://klasma.github.io/Logging_1382/tillsyn/S 647-2024 tillsynsbegäran.docx", "S 647-2024")</f>
        <v/>
      </c>
      <c r="AD11">
        <f>HYPERLINK("https://klasma.github.io/Logging_1382/tillsynsmail/S 647-2024 tillsynsbegäran mail.docx", "S 647-2024")</f>
        <v/>
      </c>
      <c r="AE11">
        <f>HYPERLINK("https://klasma.github.io/Logging_1382/fåglar/S 647-2024 prioriterade fågelarter.docx", "S 647-2024")</f>
        <v/>
      </c>
    </row>
    <row r="12" ht="15" customHeight="1">
      <c r="A12" t="inlineStr">
        <is>
          <t>S 3285-2024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45527</v>
      </c>
      <c r="E12" s="1" t="n">
        <v>46262</v>
      </c>
      <c r="F12" t="inlineStr">
        <is>
          <t>HALLANDS LÄN</t>
        </is>
      </c>
      <c r="G12" t="inlineStr">
        <is>
          <t>FALKENBERG</t>
        </is>
      </c>
      <c r="I12" t="n">
        <v>0.1</v>
      </c>
      <c r="J12" t="n">
        <v>0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Fällmossa
Guldlockmossa
Gulpudrad spiklav
Sotlav</t>
        </is>
      </c>
      <c r="W12">
        <f>HYPERLINK("https://klasma.github.io/Logging_1382/artfynd/S 3285-2024 artfynd.xlsx", "S 3285-2024")</f>
        <v/>
      </c>
      <c r="X12">
        <f>HYPERLINK("https://klasma.github.io/Logging_1382/kartor/S 3285-2024 karta.png", "S 3285-2024")</f>
        <v/>
      </c>
      <c r="Y12">
        <f>HYPERLINK("https://klasma.github.io/Logging_1382/kartor_geotiff/S 3285-2024 georefererad karta.tif", "S 3285-2024")</f>
        <v/>
      </c>
      <c r="AA12">
        <f>HYPERLINK("https://klasma.github.io/Logging_1382/klagomål/S 3285-2024 FSC-klagomål.docx", "S 3285-2024")</f>
        <v/>
      </c>
      <c r="AB12">
        <f>HYPERLINK("https://klasma.github.io/Logging_1382/klagomålsmail/S 3285-2024 FSC-klagomål mail.docx", "S 3285-2024")</f>
        <v/>
      </c>
      <c r="AC12">
        <f>HYPERLINK("https://klasma.github.io/Logging_1382/tillsyn/S 3285-2024 tillsynsbegäran.docx", "S 3285-2024")</f>
        <v/>
      </c>
      <c r="AD12">
        <f>HYPERLINK("https://klasma.github.io/Logging_1382/tillsynsmail/S 3285-2024 tillsynsbegäran mail.docx", "S 3285-2024")</f>
        <v/>
      </c>
    </row>
    <row r="13" ht="15" customHeight="1">
      <c r="A13" t="inlineStr">
        <is>
          <t>S 232-2025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45680</v>
      </c>
      <c r="E13" s="1" t="n">
        <v>46262</v>
      </c>
      <c r="F13" t="inlineStr">
        <is>
          <t>HALLANDS LÄN</t>
        </is>
      </c>
      <c r="G13" t="inlineStr">
        <is>
          <t>FALKENBERG</t>
        </is>
      </c>
      <c r="I13" t="n">
        <v>2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Dunmossa
Bågpraktmossa
Skuggmossa
Västlig husmossa</t>
        </is>
      </c>
      <c r="W13">
        <f>HYPERLINK("https://klasma.github.io/Logging_1382/artfynd/S 232-2025 artfynd.xlsx", "S 232-2025")</f>
        <v/>
      </c>
      <c r="X13">
        <f>HYPERLINK("https://klasma.github.io/Logging_1382/kartor/S 232-2025 karta.png", "S 232-2025")</f>
        <v/>
      </c>
      <c r="Y13">
        <f>HYPERLINK("https://klasma.github.io/Logging_1382/kartor_geotiff/S 232-2025 georefererad karta.tif", "S 232-2025")</f>
        <v/>
      </c>
      <c r="AA13">
        <f>HYPERLINK("https://klasma.github.io/Logging_1382/klagomål/S 232-2025 FSC-klagomål.docx", "S 232-2025")</f>
        <v/>
      </c>
      <c r="AB13">
        <f>HYPERLINK("https://klasma.github.io/Logging_1382/klagomålsmail/S 232-2025 FSC-klagomål mail.docx", "S 232-2025")</f>
        <v/>
      </c>
      <c r="AC13">
        <f>HYPERLINK("https://klasma.github.io/Logging_1382/tillsyn/S 232-2025 tillsynsbegäran.docx", "S 232-2025")</f>
        <v/>
      </c>
      <c r="AD13">
        <f>HYPERLINK("https://klasma.github.io/Logging_1382/tillsynsmail/S 232-2025 tillsynsbegäran mail.docx", "S 232-2025")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46262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46262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Flytsvalting
Revlummer</t>
        </is>
      </c>
      <c r="W15">
        <f>HYPERLINK("https://klasma.github.io/Logging_1382/artfynd/A 50273-2024 artfynd.xlsx", "A 50273-2024")</f>
        <v/>
      </c>
      <c r="X15">
        <f>HYPERLINK("https://klasma.github.io/Logging_1382/kartor/A 50273-2024 karta.png", "A 50273-2024")</f>
        <v/>
      </c>
      <c r="Y15">
        <f>HYPERLINK("https://klasma.github.io/Logging_1382/kartor_geotiff/A 50273-2024 georefererad karta.tif", "A 50273-2024")</f>
        <v/>
      </c>
      <c r="AA15">
        <f>HYPERLINK("https://klasma.github.io/Logging_1382/klagomål/A 50273-2024 FSC-klagomål.docx", "A 50273-2024")</f>
        <v/>
      </c>
      <c r="AB15">
        <f>HYPERLINK("https://klasma.github.io/Logging_1382/klagomålsmail/A 50273-2024 FSC-klagomål mail.docx", "A 50273-2024")</f>
        <v/>
      </c>
      <c r="AC15">
        <f>HYPERLINK("https://klasma.github.io/Logging_1382/tillsyn/A 50273-2024 tillsynsbegäran.docx", "A 50273-2024")</f>
        <v/>
      </c>
      <c r="AD15">
        <f>HYPERLINK("https://klasma.github.io/Logging_1382/tillsynsmail/A 50273-2024 tillsynsbegäran mail.docx", "A 50273-2024")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46262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46262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46262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46262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20935-2026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46142</v>
      </c>
      <c r="E20" s="1" t="n">
        <v>46262</v>
      </c>
      <c r="F20" t="inlineStr">
        <is>
          <t>HALLANDS LÄN</t>
        </is>
      </c>
      <c r="G20" t="inlineStr">
        <is>
          <t>FALKENBERG</t>
        </is>
      </c>
      <c r="I20" t="n">
        <v>9.800000000000001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Bokvårtlav
Platt fjädermossa</t>
        </is>
      </c>
      <c r="W20">
        <f>HYPERLINK("https://klasma.github.io/Logging_1382/artfynd/A 20935-2026 artfynd.xlsx", "A 20935-2026")</f>
        <v/>
      </c>
      <c r="X20">
        <f>HYPERLINK("https://klasma.github.io/Logging_1382/kartor/A 20935-2026 karta.png", "A 20935-2026")</f>
        <v/>
      </c>
      <c r="Y20">
        <f>HYPERLINK("https://klasma.github.io/Logging_1382/kartor_geotiff/A 20935-2026 georefererad karta.tif", "A 20935-2026")</f>
        <v/>
      </c>
      <c r="AA20">
        <f>HYPERLINK("https://klasma.github.io/Logging_1382/klagomål/A 20935-2026 FSC-klagomål.docx", "A 20935-2026")</f>
        <v/>
      </c>
      <c r="AB20">
        <f>HYPERLINK("https://klasma.github.io/Logging_1382/klagomålsmail/A 20935-2026 FSC-klagomål mail.docx", "A 20935-2026")</f>
        <v/>
      </c>
      <c r="AC20">
        <f>HYPERLINK("https://klasma.github.io/Logging_1382/tillsyn/A 20935-2026 tillsynsbegäran.docx", "A 20935-2026")</f>
        <v/>
      </c>
      <c r="AD20">
        <f>HYPERLINK("https://klasma.github.io/Logging_1382/tillsynsmail/A 20935-2026 tillsynsbegäran mail.docx", "A 20935-2026")</f>
        <v/>
      </c>
    </row>
    <row r="21" ht="15" customHeight="1">
      <c r="A21" t="inlineStr">
        <is>
          <t>A 34225-2026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46253</v>
      </c>
      <c r="E21" s="1" t="n">
        <v>46262</v>
      </c>
      <c r="F21" t="inlineStr">
        <is>
          <t>HALLANDS LÄN</t>
        </is>
      </c>
      <c r="G21" t="inlineStr">
        <is>
          <t>FALKENBERG</t>
        </is>
      </c>
      <c r="I21" t="n">
        <v>0.8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Entita
Tofsmes</t>
        </is>
      </c>
      <c r="W21">
        <f>HYPERLINK("https://klasma.github.io/Logging_1382/artfynd/A 34225-2026 artfynd.xlsx", "A 34225-2026")</f>
        <v/>
      </c>
      <c r="X21">
        <f>HYPERLINK("https://klasma.github.io/Logging_1382/kartor/A 34225-2026 karta.png", "A 34225-2026")</f>
        <v/>
      </c>
      <c r="Y21">
        <f>HYPERLINK("https://klasma.github.io/Logging_1382/kartor_geotiff/A 34225-2026 georefererad karta.tif", "A 34225-2026")</f>
        <v/>
      </c>
      <c r="AA21">
        <f>HYPERLINK("https://klasma.github.io/Logging_1382/klagomål/A 34225-2026 FSC-klagomål.docx", "A 34225-2026")</f>
        <v/>
      </c>
      <c r="AB21">
        <f>HYPERLINK("https://klasma.github.io/Logging_1382/klagomålsmail/A 34225-2026 FSC-klagomål mail.docx", "A 34225-2026")</f>
        <v/>
      </c>
      <c r="AC21">
        <f>HYPERLINK("https://klasma.github.io/Logging_1382/tillsyn/A 34225-2026 tillsynsbegäran.docx", "A 34225-2026")</f>
        <v/>
      </c>
      <c r="AD21">
        <f>HYPERLINK("https://klasma.github.io/Logging_1382/tillsynsmail/A 34225-2026 tillsynsbegäran mail.docx", "A 34225-2026")</f>
        <v/>
      </c>
      <c r="AE21">
        <f>HYPERLINK("https://klasma.github.io/Logging_1382/fåglar/A 34225-2026 prioriterade fågelarter.docx", "A 34225-2026")</f>
        <v/>
      </c>
    </row>
    <row r="22" ht="15" customHeight="1">
      <c r="A22" t="inlineStr">
        <is>
          <t>S 644-2024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45356</v>
      </c>
      <c r="E22" s="1" t="n">
        <v>46262</v>
      </c>
      <c r="F22" t="inlineStr">
        <is>
          <t>HALLANDS LÄN</t>
        </is>
      </c>
      <c r="G22" t="inlineStr">
        <is>
          <t>FALKENBERG</t>
        </is>
      </c>
      <c r="I22" t="n">
        <v>80.3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Nordfladdermus
Dvärgpipistrell</t>
        </is>
      </c>
      <c r="W22">
        <f>HYPERLINK("https://klasma.github.io/Logging_1382/artfynd/S 644-2024 artfynd.xlsx", "S 644-2024")</f>
        <v/>
      </c>
      <c r="X22">
        <f>HYPERLINK("https://klasma.github.io/Logging_1382/kartor/S 644-2024 karta.png", "S 644-2024")</f>
        <v/>
      </c>
      <c r="Y22">
        <f>HYPERLINK("https://klasma.github.io/Logging_1382/kartor_geotiff/S 644-2024 georefererad karta.tif", "S 644-2024")</f>
        <v/>
      </c>
      <c r="AA22">
        <f>HYPERLINK("https://klasma.github.io/Logging_1382/klagomål/S 644-2024 FSC-klagomål.docx", "S 644-2024")</f>
        <v/>
      </c>
      <c r="AB22">
        <f>HYPERLINK("https://klasma.github.io/Logging_1382/klagomålsmail/S 644-2024 FSC-klagomål mail.docx", "S 644-2024")</f>
        <v/>
      </c>
      <c r="AC22">
        <f>HYPERLINK("https://klasma.github.io/Logging_1382/tillsyn/S 644-2024 tillsynsbegäran.docx", "S 644-2024")</f>
        <v/>
      </c>
      <c r="AD22">
        <f>HYPERLINK("https://klasma.github.io/Logging_1382/tillsynsmail/S 644-2024 tillsynsbegäran mail.docx", "S 644-2024")</f>
        <v/>
      </c>
    </row>
    <row r="23" ht="15" customHeight="1">
      <c r="A23" t="inlineStr">
        <is>
          <t>S 5114-2022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44818</v>
      </c>
      <c r="E23" s="1" t="n">
        <v>46262</v>
      </c>
      <c r="F23" t="inlineStr">
        <is>
          <t>HALLANDS LÄN</t>
        </is>
      </c>
      <c r="G23" t="inlineStr">
        <is>
          <t>FALKENBERG</t>
        </is>
      </c>
      <c r="I23" t="n">
        <v>17.4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Slåttergubbe
Åkerkål</t>
        </is>
      </c>
      <c r="W23">
        <f>HYPERLINK("https://klasma.github.io/Logging_1382/artfynd/S 5114-2022 artfynd.xlsx", "S 5114-2022")</f>
        <v/>
      </c>
      <c r="X23">
        <f>HYPERLINK("https://klasma.github.io/Logging_1382/kartor/S 5114-2022 karta.png", "S 5114-2022")</f>
        <v/>
      </c>
      <c r="Y23">
        <f>HYPERLINK("https://klasma.github.io/Logging_1382/kartor_geotiff/S 5114-2022 georefererad karta.tif", "S 5114-2022")</f>
        <v/>
      </c>
      <c r="AA23">
        <f>HYPERLINK("https://klasma.github.io/Logging_1382/klagomål/S 5114-2022 FSC-klagomål.docx", "S 5114-2022")</f>
        <v/>
      </c>
      <c r="AB23">
        <f>HYPERLINK("https://klasma.github.io/Logging_1382/klagomålsmail/S 5114-2022 FSC-klagomål mail.docx", "S 5114-2022")</f>
        <v/>
      </c>
      <c r="AC23">
        <f>HYPERLINK("https://klasma.github.io/Logging_1382/tillsyn/S 5114-2022 tillsynsbegäran.docx", "S 5114-2022")</f>
        <v/>
      </c>
      <c r="AD23">
        <f>HYPERLINK("https://klasma.github.io/Logging_1382/tillsynsmail/S 5114-2022 tillsynsbegäran mail.docx", "S 5114-2022")</f>
        <v/>
      </c>
    </row>
    <row r="24" ht="15" customHeight="1">
      <c r="A24" t="inlineStr">
        <is>
          <t>S 8972-2021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44507</v>
      </c>
      <c r="E24" s="1" t="n">
        <v>46262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Ask
Ängsskära</t>
        </is>
      </c>
      <c r="W24">
        <f>HYPERLINK("https://klasma.github.io/Logging_1382/artfynd/S 8972-2021 artfynd.xlsx", "S 8972-2021")</f>
        <v/>
      </c>
      <c r="X24">
        <f>HYPERLINK("https://klasma.github.io/Logging_1382/kartor/S 8972-2021 karta.png", "S 8972-2021")</f>
        <v/>
      </c>
      <c r="Y24">
        <f>HYPERLINK("https://klasma.github.io/Logging_1382/kartor_geotiff/S 8972-2021 georefererad karta.tif", "S 8972-2021")</f>
        <v/>
      </c>
      <c r="AA24">
        <f>HYPERLINK("https://klasma.github.io/Logging_1382/klagomål/S 8972-2021 FSC-klagomål.docx", "S 8972-2021")</f>
        <v/>
      </c>
      <c r="AB24">
        <f>HYPERLINK("https://klasma.github.io/Logging_1382/klagomålsmail/S 8972-2021 FSC-klagomål mail.docx", "S 8972-2021")</f>
        <v/>
      </c>
      <c r="AC24">
        <f>HYPERLINK("https://klasma.github.io/Logging_1382/tillsyn/S 8972-2021 tillsynsbegäran.docx", "S 8972-2021")</f>
        <v/>
      </c>
      <c r="AD24">
        <f>HYPERLINK("https://klasma.github.io/Logging_1382/tillsynsmail/S 8972-2021 tillsynsbegäran mail.docx", "S 8972-2021")</f>
        <v/>
      </c>
    </row>
    <row r="25" ht="15" customHeight="1">
      <c r="A25" t="inlineStr">
        <is>
          <t>A 50998-2021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44460</v>
      </c>
      <c r="E25" s="1" t="n">
        <v>46262</v>
      </c>
      <c r="F25" t="inlineStr">
        <is>
          <t>HALLANDS LÄN</t>
        </is>
      </c>
      <c r="G25" t="inlineStr">
        <is>
          <t>FALKENBERG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Rödgul trumpetsvamp</t>
        </is>
      </c>
      <c r="W25">
        <f>HYPERLINK("https://klasma.github.io/Logging_1382/artfynd/A 50998-2021 artfynd.xlsx", "A 50998-2021")</f>
        <v/>
      </c>
      <c r="X25">
        <f>HYPERLINK("https://klasma.github.io/Logging_1382/kartor/A 50998-2021 karta.png", "A 50998-2021")</f>
        <v/>
      </c>
      <c r="Y25">
        <f>HYPERLINK("https://klasma.github.io/Logging_1382/kartor_geotiff/A 50998-2021 georefererad karta.tif", "A 50998-2021")</f>
        <v/>
      </c>
      <c r="AA25">
        <f>HYPERLINK("https://klasma.github.io/Logging_1382/klagomål/A 50998-2021 FSC-klagomål.docx", "A 50998-2021")</f>
        <v/>
      </c>
      <c r="AB25">
        <f>HYPERLINK("https://klasma.github.io/Logging_1382/klagomålsmail/A 50998-2021 FSC-klagomål mail.docx", "A 50998-2021")</f>
        <v/>
      </c>
      <c r="AC25">
        <f>HYPERLINK("https://klasma.github.io/Logging_1382/tillsyn/A 50998-2021 tillsynsbegäran.docx", "A 50998-2021")</f>
        <v/>
      </c>
      <c r="AD25">
        <f>HYPERLINK("https://klasma.github.io/Logging_1382/tillsynsmail/A 50998-2021 tillsynsbegäran mail.docx", "A 50998-2021")</f>
        <v/>
      </c>
    </row>
    <row r="26" ht="15" customHeight="1">
      <c r="A26" t="inlineStr">
        <is>
          <t>A 66137-2021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46262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HYPERLINK("https://klasma.github.io/Logging_1382/artfynd/A 66137-2021 artfynd.xlsx", "A 66137-2021")</f>
        <v/>
      </c>
      <c r="X26">
        <f>HYPERLINK("https://klasma.github.io/Logging_1382/kartor/A 66137-2021 karta.png", "A 66137-2021")</f>
        <v/>
      </c>
      <c r="Y26">
        <f>HYPERLINK("https://klasma.github.io/Logging_1382/kartor_geotiff/A 66137-2021 georefererad karta.tif", "A 66137-2021")</f>
        <v/>
      </c>
      <c r="AA26">
        <f>HYPERLINK("https://klasma.github.io/Logging_1382/klagomål/A 66137-2021 FSC-klagomål.docx", "A 66137-2021")</f>
        <v/>
      </c>
      <c r="AB26">
        <f>HYPERLINK("https://klasma.github.io/Logging_1382/klagomålsmail/A 66137-2021 FSC-klagomål mail.docx", "A 66137-2021")</f>
        <v/>
      </c>
      <c r="AC26">
        <f>HYPERLINK("https://klasma.github.io/Logging_1382/tillsyn/A 66137-2021 tillsynsbegäran.docx", "A 66137-2021")</f>
        <v/>
      </c>
      <c r="AD26">
        <f>HYPERLINK("https://klasma.github.io/Logging_1382/tillsynsmail/A 66137-2021 tillsynsbegäran mail.docx", "A 66137-2021")</f>
        <v/>
      </c>
    </row>
    <row r="27" ht="15" customHeight="1">
      <c r="A27" t="inlineStr">
        <is>
          <t>A 46059-2023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46262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46059-2023 artfynd.xlsx", "A 46059-2023")</f>
        <v/>
      </c>
      <c r="X27">
        <f>HYPERLINK("https://klasma.github.io/Logging_1382/kartor/A 46059-2023 karta.png", "A 46059-2023")</f>
        <v/>
      </c>
      <c r="Y27">
        <f>HYPERLINK("https://klasma.github.io/Logging_1382/kartor_geotiff/A 46059-2023 georefererad karta.tif", "A 46059-2023")</f>
        <v/>
      </c>
      <c r="AA27">
        <f>HYPERLINK("https://klasma.github.io/Logging_1382/klagomål/A 46059-2023 FSC-klagomål.docx", "A 46059-2023")</f>
        <v/>
      </c>
      <c r="AB27">
        <f>HYPERLINK("https://klasma.github.io/Logging_1382/klagomålsmail/A 46059-2023 FSC-klagomål mail.docx", "A 46059-2023")</f>
        <v/>
      </c>
      <c r="AC27">
        <f>HYPERLINK("https://klasma.github.io/Logging_1382/tillsyn/A 46059-2023 tillsynsbegäran.docx", "A 46059-2023")</f>
        <v/>
      </c>
      <c r="AD27">
        <f>HYPERLINK("https://klasma.github.io/Logging_1382/tillsynsmail/A 46059-2023 tillsynsbegäran mail.docx", "A 46059-2023")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46262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46262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HYPERLINK("https://klasma.github.io/Logging_1382/artfynd/A 50078-2024 artfynd.xlsx", "A 50078-2024")</f>
        <v/>
      </c>
      <c r="X29">
        <f>HYPERLINK("https://klasma.github.io/Logging_1382/kartor/A 50078-2024 karta.png", "A 50078-2024")</f>
        <v/>
      </c>
      <c r="Y29">
        <f>HYPERLINK("https://klasma.github.io/Logging_1382/kartor_geotiff/A 50078-2024 georefererad karta.tif", "A 50078-2024")</f>
        <v/>
      </c>
      <c r="AA29">
        <f>HYPERLINK("https://klasma.github.io/Logging_1382/klagomål/A 50078-2024 FSC-klagomål.docx", "A 50078-2024")</f>
        <v/>
      </c>
      <c r="AB29">
        <f>HYPERLINK("https://klasma.github.io/Logging_1382/klagomålsmail/A 50078-2024 FSC-klagomål mail.docx", "A 50078-2024")</f>
        <v/>
      </c>
      <c r="AC29">
        <f>HYPERLINK("https://klasma.github.io/Logging_1382/tillsyn/A 50078-2024 tillsynsbegäran.docx", "A 50078-2024")</f>
        <v/>
      </c>
      <c r="AD29">
        <f>HYPERLINK("https://klasma.github.io/Logging_1382/tillsynsmail/A 50078-2024 tillsynsbegäran mail.docx", "A 50078-2024")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46262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43912-2025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45914</v>
      </c>
      <c r="E31" s="1" t="n">
        <v>46262</v>
      </c>
      <c r="F31" t="inlineStr">
        <is>
          <t>HALLANDS LÄN</t>
        </is>
      </c>
      <c r="G31" t="inlineStr">
        <is>
          <t>FALKENBERG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HYPERLINK("https://klasma.github.io/Logging_1382/artfynd/A 43912-2025 artfynd.xlsx", "A 43912-2025")</f>
        <v/>
      </c>
      <c r="X31">
        <f>HYPERLINK("https://klasma.github.io/Logging_1382/kartor/A 43912-2025 karta.png", "A 43912-2025")</f>
        <v/>
      </c>
      <c r="Y31">
        <f>HYPERLINK("https://klasma.github.io/Logging_1382/kartor_geotiff/A 43912-2025 georefererad karta.tif", "A 43912-2025")</f>
        <v/>
      </c>
      <c r="AA31">
        <f>HYPERLINK("https://klasma.github.io/Logging_1382/klagomål/A 43912-2025 FSC-klagomål.docx", "A 43912-2025")</f>
        <v/>
      </c>
      <c r="AB31">
        <f>HYPERLINK("https://klasma.github.io/Logging_1382/klagomålsmail/A 43912-2025 FSC-klagomål mail.docx", "A 43912-2025")</f>
        <v/>
      </c>
      <c r="AC31">
        <f>HYPERLINK("https://klasma.github.io/Logging_1382/tillsyn/A 43912-2025 tillsynsbegäran.docx", "A 43912-2025")</f>
        <v/>
      </c>
      <c r="AD31">
        <f>HYPERLINK("https://klasma.github.io/Logging_1382/tillsynsmail/A 43912-2025 tillsynsbegäran mail.docx", "A 43912-2025")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46262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46262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46262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46262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62755-2022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44926</v>
      </c>
      <c r="E36" s="1" t="n">
        <v>46262</v>
      </c>
      <c r="F36" t="inlineStr">
        <is>
          <t>HALLANDS LÄN</t>
        </is>
      </c>
      <c r="G36" t="inlineStr">
        <is>
          <t>FALKENBERG</t>
        </is>
      </c>
      <c r="H36" t="inlineStr">
        <is>
          <t>Kyrkan</t>
        </is>
      </c>
      <c r="I36" t="n">
        <v>9.4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HYPERLINK("https://klasma.github.io/Logging_1382/artfynd/A 62755-2022 artfynd.xlsx", "A 62755-2022")</f>
        <v/>
      </c>
      <c r="X36">
        <f>HYPERLINK("https://klasma.github.io/Logging_1382/kartor/A 62755-2022 karta.png", "A 62755-2022")</f>
        <v/>
      </c>
      <c r="Y36">
        <f>HYPERLINK("https://klasma.github.io/Logging_1382/kartor_geotiff/A 62755-2022 georefererad karta.tif", "A 62755-2022")</f>
        <v/>
      </c>
      <c r="AA36">
        <f>HYPERLINK("https://klasma.github.io/Logging_1382/klagomål/A 62755-2022 FSC-klagomål.docx", "A 62755-2022")</f>
        <v/>
      </c>
      <c r="AB36">
        <f>HYPERLINK("https://klasma.github.io/Logging_1382/klagomålsmail/A 62755-2022 FSC-klagomål mail.docx", "A 62755-2022")</f>
        <v/>
      </c>
      <c r="AC36">
        <f>HYPERLINK("https://klasma.github.io/Logging_1382/tillsyn/A 62755-2022 tillsynsbegäran.docx", "A 62755-2022")</f>
        <v/>
      </c>
      <c r="AD36">
        <f>HYPERLINK("https://klasma.github.io/Logging_1382/tillsynsmail/A 62755-2022 tillsynsbegäran mail.docx", "A 62755-2022")</f>
        <v/>
      </c>
    </row>
    <row r="37" ht="15" customHeight="1">
      <c r="A37" t="inlineStr">
        <is>
          <t>A 45977-2024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45580</v>
      </c>
      <c r="E37" s="1" t="n">
        <v>46262</v>
      </c>
      <c r="F37" t="inlineStr">
        <is>
          <t>HALLANDS LÄN</t>
        </is>
      </c>
      <c r="G37" t="inlineStr">
        <is>
          <t>FALKENBERG</t>
        </is>
      </c>
      <c r="I37" t="n">
        <v>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Lax</t>
        </is>
      </c>
      <c r="W37">
        <f>HYPERLINK("https://klasma.github.io/Logging_1382/artfynd/A 45977-2024 artfynd.xlsx", "A 45977-2024")</f>
        <v/>
      </c>
      <c r="X37">
        <f>HYPERLINK("https://klasma.github.io/Logging_1382/kartor/A 45977-2024 karta.png", "A 45977-2024")</f>
        <v/>
      </c>
      <c r="Y37">
        <f>HYPERLINK("https://klasma.github.io/Logging_1382/kartor_geotiff/A 45977-2024 georefererad karta.tif", "A 45977-2024")</f>
        <v/>
      </c>
      <c r="AA37">
        <f>HYPERLINK("https://klasma.github.io/Logging_1382/klagomål/A 45977-2024 FSC-klagomål.docx", "A 45977-2024")</f>
        <v/>
      </c>
      <c r="AB37">
        <f>HYPERLINK("https://klasma.github.io/Logging_1382/klagomålsmail/A 45977-2024 FSC-klagomål mail.docx", "A 45977-2024")</f>
        <v/>
      </c>
      <c r="AC37">
        <f>HYPERLINK("https://klasma.github.io/Logging_1382/tillsyn/A 45977-2024 tillsynsbegäran.docx", "A 45977-2024")</f>
        <v/>
      </c>
      <c r="AD37">
        <f>HYPERLINK("https://klasma.github.io/Logging_1382/tillsynsmail/A 45977-2024 tillsynsbegäran mail.docx", "A 45977-2024")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46262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46262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46262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46262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46262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46262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46262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46262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46262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46262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46262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46262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46262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46262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S 2202-2026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46255</v>
      </c>
      <c r="E52" s="1" t="n">
        <v>46262</v>
      </c>
      <c r="F52" t="inlineStr">
        <is>
          <t>HALLANDS LÄN</t>
        </is>
      </c>
      <c r="G52" t="inlineStr">
        <is>
          <t>FALKENBERG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Koralltaggsvamp</t>
        </is>
      </c>
      <c r="W52">
        <f>HYPERLINK("https://klasma.github.io/Logging_1382/artfynd/S 2202-2026 artfynd.xlsx", "S 2202-2026")</f>
        <v/>
      </c>
      <c r="X52">
        <f>HYPERLINK("https://klasma.github.io/Logging_1382/kartor/S 2202-2026 karta.png", "S 2202-2026")</f>
        <v/>
      </c>
      <c r="Y52">
        <f>HYPERLINK("https://klasma.github.io/Logging_1382/kartor_geotiff/S 2202-2026 georefererad karta.tif", "S 2202-2026")</f>
        <v/>
      </c>
      <c r="AA52">
        <f>HYPERLINK("https://klasma.github.io/Logging_1382/klagomål/S 2202-2026 FSC-klagomål.docx", "S 2202-2026")</f>
        <v/>
      </c>
      <c r="AB52">
        <f>HYPERLINK("https://klasma.github.io/Logging_1382/klagomålsmail/S 2202-2026 FSC-klagomål mail.docx", "S 2202-2026")</f>
        <v/>
      </c>
      <c r="AC52">
        <f>HYPERLINK("https://klasma.github.io/Logging_1382/tillsyn/S 2202-2026 tillsynsbegäran.docx", "S 2202-2026")</f>
        <v/>
      </c>
      <c r="AD52">
        <f>HYPERLINK("https://klasma.github.io/Logging_1382/tillsynsmail/S 2202-2026 tillsynsbegäran mail.docx", "S 2202-2026")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46262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46262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46262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46262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46262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46262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46262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46262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46262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46262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46262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46262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46262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46262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46262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46262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46262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46262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46262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46262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46262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46262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46262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46262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46262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46262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46262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46262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46262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46262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46262</v>
      </c>
      <c r="F83" t="inlineStr">
        <is>
          <t>HALLANDS LÄN</t>
        </is>
      </c>
      <c r="G83" t="inlineStr">
        <is>
          <t>FALKENBERG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46262</v>
      </c>
      <c r="F84" t="inlineStr">
        <is>
          <t>HALLANDS LÄN</t>
        </is>
      </c>
      <c r="G84" t="inlineStr">
        <is>
          <t>FALKENBERG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46262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46262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46262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46262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46262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46262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46262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46262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46262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46262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46262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46262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46262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46262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46262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46262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46262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46262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46262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46262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46262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46262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46262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46262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46262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46262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46262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46262</v>
      </c>
      <c r="F112" t="inlineStr">
        <is>
          <t>HALLANDS LÄN</t>
        </is>
      </c>
      <c r="G112" t="inlineStr">
        <is>
          <t>FALKENBERG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71732-2021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46262</v>
      </c>
      <c r="F113" t="inlineStr">
        <is>
          <t>HALLANDS LÄN</t>
        </is>
      </c>
      <c r="G113" t="inlineStr">
        <is>
          <t>FALKENBERG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46262</v>
      </c>
      <c r="F114" t="inlineStr">
        <is>
          <t>HALLANDS LÄN</t>
        </is>
      </c>
      <c r="G114" t="inlineStr">
        <is>
          <t>FALKENBERG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46262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46262</v>
      </c>
      <c r="F116" t="inlineStr">
        <is>
          <t>HALLANDS LÄN</t>
        </is>
      </c>
      <c r="G116" t="inlineStr">
        <is>
          <t>FALKENBERG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46262</v>
      </c>
      <c r="F117" t="inlineStr">
        <is>
          <t>HALLANDS LÄN</t>
        </is>
      </c>
      <c r="G117" t="inlineStr">
        <is>
          <t>FALKENBERG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44576</v>
      </c>
      <c r="E118" s="1" t="n">
        <v>46262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46262</v>
      </c>
      <c r="F119" t="inlineStr">
        <is>
          <t>HALLANDS LÄN</t>
        </is>
      </c>
      <c r="G119" t="inlineStr">
        <is>
          <t>FALKENBERG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46262</v>
      </c>
      <c r="F120" t="inlineStr">
        <is>
          <t>HALLANDS LÄN</t>
        </is>
      </c>
      <c r="G120" t="inlineStr">
        <is>
          <t>FALKENBERG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46262</v>
      </c>
      <c r="F121" t="inlineStr">
        <is>
          <t>HALLANDS LÄN</t>
        </is>
      </c>
      <c r="G121" t="inlineStr">
        <is>
          <t>FALKENBERG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46262</v>
      </c>
      <c r="F122" t="inlineStr">
        <is>
          <t>HALLANDS LÄN</t>
        </is>
      </c>
      <c r="G122" t="inlineStr">
        <is>
          <t>FALKENBERG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45552</v>
      </c>
      <c r="E123" s="1" t="n">
        <v>46262</v>
      </c>
      <c r="F123" t="inlineStr">
        <is>
          <t>HALLANDS LÄN</t>
        </is>
      </c>
      <c r="G123" t="inlineStr">
        <is>
          <t>FALKENBERG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46262</v>
      </c>
      <c r="F124" t="inlineStr">
        <is>
          <t>HALLANDS LÄN</t>
        </is>
      </c>
      <c r="G124" t="inlineStr">
        <is>
          <t>FALKENBERG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46262</v>
      </c>
      <c r="F125" t="inlineStr">
        <is>
          <t>HALLANDS LÄN</t>
        </is>
      </c>
      <c r="G125" t="inlineStr">
        <is>
          <t>FALKENBERG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46262</v>
      </c>
      <c r="F126" t="inlineStr">
        <is>
          <t>HALLANDS LÄN</t>
        </is>
      </c>
      <c r="G126" t="inlineStr">
        <is>
          <t>FALKENBERG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45782</v>
      </c>
      <c r="E127" s="1" t="n">
        <v>46262</v>
      </c>
      <c r="F127" t="inlineStr">
        <is>
          <t>HALLANDS LÄN</t>
        </is>
      </c>
      <c r="G127" t="inlineStr">
        <is>
          <t>FALKENBERG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46262</v>
      </c>
      <c r="F128" t="inlineStr">
        <is>
          <t>HALLANDS LÄN</t>
        </is>
      </c>
      <c r="G128" t="inlineStr">
        <is>
          <t>FALKENBERG</t>
        </is>
      </c>
      <c r="H128" t="inlineStr">
        <is>
          <t>Kyrkan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46262</v>
      </c>
      <c r="F129" t="inlineStr">
        <is>
          <t>HALLANDS LÄN</t>
        </is>
      </c>
      <c r="G129" t="inlineStr">
        <is>
          <t>FALKENBERG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46262</v>
      </c>
      <c r="F130" t="inlineStr">
        <is>
          <t>HALLANDS LÄN</t>
        </is>
      </c>
      <c r="G130" t="inlineStr">
        <is>
          <t>FALKENBERG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46262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46262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46262</v>
      </c>
      <c r="F133" t="inlineStr">
        <is>
          <t>HALLANDS LÄN</t>
        </is>
      </c>
      <c r="G133" t="inlineStr">
        <is>
          <t>FALKENBERG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44908</v>
      </c>
      <c r="E134" s="1" t="n">
        <v>46262</v>
      </c>
      <c r="F134" t="inlineStr">
        <is>
          <t>HALLANDS LÄN</t>
        </is>
      </c>
      <c r="G134" t="inlineStr">
        <is>
          <t>FALKENBERG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46262</v>
      </c>
      <c r="F135" t="inlineStr">
        <is>
          <t>HALLANDS LÄN</t>
        </is>
      </c>
      <c r="G135" t="inlineStr">
        <is>
          <t>FALKENBERG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46262</v>
      </c>
      <c r="F136" t="inlineStr">
        <is>
          <t>HALLANDS LÄN</t>
        </is>
      </c>
      <c r="G136" t="inlineStr">
        <is>
          <t>FALKENBERG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46262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45562</v>
      </c>
      <c r="E138" s="1" t="n">
        <v>46262</v>
      </c>
      <c r="F138" t="inlineStr">
        <is>
          <t>HALLANDS LÄN</t>
        </is>
      </c>
      <c r="G138" t="inlineStr">
        <is>
          <t>FALKENBERG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45443</v>
      </c>
      <c r="E139" s="1" t="n">
        <v>46262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46262</v>
      </c>
      <c r="F140" t="inlineStr">
        <is>
          <t>HALLANDS LÄN</t>
        </is>
      </c>
      <c r="G140" t="inlineStr">
        <is>
          <t>FALKENBERG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46262</v>
      </c>
      <c r="F141" t="inlineStr">
        <is>
          <t>HALLANDS LÄN</t>
        </is>
      </c>
      <c r="G141" t="inlineStr">
        <is>
          <t>FALKENBERG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45951</v>
      </c>
      <c r="E142" s="1" t="n">
        <v>46262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46262</v>
      </c>
      <c r="F143" t="inlineStr">
        <is>
          <t>HALLANDS LÄN</t>
        </is>
      </c>
      <c r="G143" t="inlineStr">
        <is>
          <t>FALKENBERG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46262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46262</v>
      </c>
      <c r="F145" t="inlineStr">
        <is>
          <t>HALLANDS LÄN</t>
        </is>
      </c>
      <c r="G145" t="inlineStr">
        <is>
          <t>FALKENBERG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46262</v>
      </c>
      <c r="F146" t="inlineStr">
        <is>
          <t>HALLANDS LÄN</t>
        </is>
      </c>
      <c r="G146" t="inlineStr">
        <is>
          <t>FALKENBERG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46262</v>
      </c>
      <c r="F147" t="inlineStr">
        <is>
          <t>HALLANDS LÄN</t>
        </is>
      </c>
      <c r="G147" t="inlineStr">
        <is>
          <t>FALKENBERG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46262</v>
      </c>
      <c r="F148" t="inlineStr">
        <is>
          <t>HALLANDS LÄN</t>
        </is>
      </c>
      <c r="G148" t="inlineStr">
        <is>
          <t>FALKENBERG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46262</v>
      </c>
      <c r="F149" t="inlineStr">
        <is>
          <t>HALLANDS LÄN</t>
        </is>
      </c>
      <c r="G149" t="inlineStr">
        <is>
          <t>FALKENBERG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46262</v>
      </c>
      <c r="F150" t="inlineStr">
        <is>
          <t>HALLANDS LÄN</t>
        </is>
      </c>
      <c r="G150" t="inlineStr">
        <is>
          <t>FALKENBERG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46262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46262</v>
      </c>
      <c r="F152" t="inlineStr">
        <is>
          <t>HALLANDS LÄN</t>
        </is>
      </c>
      <c r="G152" t="inlineStr">
        <is>
          <t>FALKENBERG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46262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46262</v>
      </c>
      <c r="F154" t="inlineStr">
        <is>
          <t>HALLANDS LÄN</t>
        </is>
      </c>
      <c r="G154" t="inlineStr">
        <is>
          <t>FALKENBERG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9352-2025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46262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46262</v>
      </c>
      <c r="F156" t="inlineStr">
        <is>
          <t>HALLANDS LÄN</t>
        </is>
      </c>
      <c r="G156" t="inlineStr">
        <is>
          <t>FALKENBERG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45686</v>
      </c>
      <c r="E157" s="1" t="n">
        <v>46262</v>
      </c>
      <c r="F157" t="inlineStr">
        <is>
          <t>HALLANDS LÄN</t>
        </is>
      </c>
      <c r="G157" t="inlineStr">
        <is>
          <t>FALKENBERG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46262</v>
      </c>
      <c r="F158" t="inlineStr">
        <is>
          <t>HALLANDS LÄN</t>
        </is>
      </c>
      <c r="G158" t="inlineStr">
        <is>
          <t>FALKENBERG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46262</v>
      </c>
      <c r="F159" t="inlineStr">
        <is>
          <t>HALLANDS LÄN</t>
        </is>
      </c>
      <c r="G159" t="inlineStr">
        <is>
          <t>FALKENBERG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46262</v>
      </c>
      <c r="F160" t="inlineStr">
        <is>
          <t>HALLANDS LÄN</t>
        </is>
      </c>
      <c r="G160" t="inlineStr">
        <is>
          <t>FALKENBERG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46262</v>
      </c>
      <c r="F161" t="inlineStr">
        <is>
          <t>HALLANDS LÄN</t>
        </is>
      </c>
      <c r="G161" t="inlineStr">
        <is>
          <t>FALKENBERG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46262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46262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46262</v>
      </c>
      <c r="F164" t="inlineStr">
        <is>
          <t>HALLANDS LÄN</t>
        </is>
      </c>
      <c r="G164" t="inlineStr">
        <is>
          <t>FALKENBERG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46262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46262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46262</v>
      </c>
      <c r="F167" t="inlineStr">
        <is>
          <t>HALLANDS LÄN</t>
        </is>
      </c>
      <c r="G167" t="inlineStr">
        <is>
          <t>FALKENBERG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45770</v>
      </c>
      <c r="E168" s="1" t="n">
        <v>46262</v>
      </c>
      <c r="F168" t="inlineStr">
        <is>
          <t>HALLANDS LÄN</t>
        </is>
      </c>
      <c r="G168" t="inlineStr">
        <is>
          <t>FALKENBERG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67744-2021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44525</v>
      </c>
      <c r="E169" s="1" t="n">
        <v>46262</v>
      </c>
      <c r="F169" t="inlineStr">
        <is>
          <t>HALLANDS LÄN</t>
        </is>
      </c>
      <c r="G169" t="inlineStr">
        <is>
          <t>FALKENBERG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46262</v>
      </c>
      <c r="F170" t="inlineStr">
        <is>
          <t>HALLANDS LÄN</t>
        </is>
      </c>
      <c r="G170" t="inlineStr">
        <is>
          <t>FALKENBERG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46262</v>
      </c>
      <c r="F171" t="inlineStr">
        <is>
          <t>HALLANDS LÄN</t>
        </is>
      </c>
      <c r="G171" t="inlineStr">
        <is>
          <t>FALKENBERG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46262</v>
      </c>
      <c r="F172" t="inlineStr">
        <is>
          <t>HALLANDS LÄN</t>
        </is>
      </c>
      <c r="G172" t="inlineStr">
        <is>
          <t>FALKENBERG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46262</v>
      </c>
      <c r="F173" t="inlineStr">
        <is>
          <t>HALLANDS LÄN</t>
        </is>
      </c>
      <c r="G173" t="inlineStr">
        <is>
          <t>FALKENBERG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46262</v>
      </c>
      <c r="F174" t="inlineStr">
        <is>
          <t>HALLANDS LÄN</t>
        </is>
      </c>
      <c r="G174" t="inlineStr">
        <is>
          <t>FALKENBERG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45772</v>
      </c>
      <c r="E175" s="1" t="n">
        <v>46262</v>
      </c>
      <c r="F175" t="inlineStr">
        <is>
          <t>HALLANDS LÄN</t>
        </is>
      </c>
      <c r="G175" t="inlineStr">
        <is>
          <t>FALKENBERG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46262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12470-2023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44999</v>
      </c>
      <c r="E177" s="1" t="n">
        <v>46262</v>
      </c>
      <c r="F177" t="inlineStr">
        <is>
          <t>HALLANDS LÄN</t>
        </is>
      </c>
      <c r="G177" t="inlineStr">
        <is>
          <t>FALKENBERG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44986</v>
      </c>
      <c r="E178" s="1" t="n">
        <v>46262</v>
      </c>
      <c r="F178" t="inlineStr">
        <is>
          <t>HALLANDS LÄN</t>
        </is>
      </c>
      <c r="G178" t="inlineStr">
        <is>
          <t>FALKENBERG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45201</v>
      </c>
      <c r="E179" s="1" t="n">
        <v>46262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46262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46262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46262</v>
      </c>
      <c r="F182" t="inlineStr">
        <is>
          <t>HALLANDS LÄN</t>
        </is>
      </c>
      <c r="G182" t="inlineStr">
        <is>
          <t>FALKENBERG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46262</v>
      </c>
      <c r="F183" t="inlineStr">
        <is>
          <t>HALLANDS LÄN</t>
        </is>
      </c>
      <c r="G183" t="inlineStr">
        <is>
          <t>FALKENBERG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46262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46262</v>
      </c>
      <c r="F185" t="inlineStr">
        <is>
          <t>HALLANDS LÄN</t>
        </is>
      </c>
      <c r="G185" t="inlineStr">
        <is>
          <t>FALKENBERG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46262</v>
      </c>
      <c r="F186" t="inlineStr">
        <is>
          <t>HALLANDS LÄN</t>
        </is>
      </c>
      <c r="G186" t="inlineStr">
        <is>
          <t>FALKENBERG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46262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72277-2021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44545</v>
      </c>
      <c r="E188" s="1" t="n">
        <v>46262</v>
      </c>
      <c r="F188" t="inlineStr">
        <is>
          <t>HALLANDS LÄN</t>
        </is>
      </c>
      <c r="G188" t="inlineStr">
        <is>
          <t>FALKENBERG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46262</v>
      </c>
      <c r="F189" t="inlineStr">
        <is>
          <t>HALLANDS LÄN</t>
        </is>
      </c>
      <c r="G189" t="inlineStr">
        <is>
          <t>FALKENBERG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46262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46262</v>
      </c>
      <c r="F191" t="inlineStr">
        <is>
          <t>HALLANDS LÄN</t>
        </is>
      </c>
      <c r="G191" t="inlineStr">
        <is>
          <t>FALKENBERG</t>
        </is>
      </c>
      <c r="H191" t="inlineStr">
        <is>
          <t>Kyrkan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46262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46262</v>
      </c>
      <c r="F193" t="inlineStr">
        <is>
          <t>HALLANDS LÄN</t>
        </is>
      </c>
      <c r="G193" t="inlineStr">
        <is>
          <t>FALKENBERG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53801-2025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45960</v>
      </c>
      <c r="E194" s="1" t="n">
        <v>46262</v>
      </c>
      <c r="F194" t="inlineStr">
        <is>
          <t>HALLANDS LÄN</t>
        </is>
      </c>
      <c r="G194" t="inlineStr">
        <is>
          <t>FALKENBERG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46262</v>
      </c>
      <c r="F195" t="inlineStr">
        <is>
          <t>HALLANDS LÄN</t>
        </is>
      </c>
      <c r="G195" t="inlineStr">
        <is>
          <t>FALKENBERG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46262</v>
      </c>
      <c r="F196" t="inlineStr">
        <is>
          <t>HALLANDS LÄN</t>
        </is>
      </c>
      <c r="G196" t="inlineStr">
        <is>
          <t>FALKENBERG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46262</v>
      </c>
      <c r="F197" t="inlineStr">
        <is>
          <t>HALLANDS LÄN</t>
        </is>
      </c>
      <c r="G197" t="inlineStr">
        <is>
          <t>FALKENBERG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46262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36431-2023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46262</v>
      </c>
      <c r="F199" t="inlineStr">
        <is>
          <t>HALLANDS LÄN</t>
        </is>
      </c>
      <c r="G199" t="inlineStr">
        <is>
          <t>FALKENBERG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46262</v>
      </c>
      <c r="F200" t="inlineStr">
        <is>
          <t>HALLANDS LÄN</t>
        </is>
      </c>
      <c r="G200" t="inlineStr">
        <is>
          <t>FALKENBERG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46262</v>
      </c>
      <c r="F201" t="inlineStr">
        <is>
          <t>HALLANDS LÄN</t>
        </is>
      </c>
      <c r="G201" t="inlineStr">
        <is>
          <t>FALKENBERG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46262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46262</v>
      </c>
      <c r="F203" t="inlineStr">
        <is>
          <t>HALLANDS LÄN</t>
        </is>
      </c>
      <c r="G203" t="inlineStr">
        <is>
          <t>FALKENBERG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46262</v>
      </c>
      <c r="F204" t="inlineStr">
        <is>
          <t>HALLANDS LÄN</t>
        </is>
      </c>
      <c r="G204" t="inlineStr">
        <is>
          <t>FALKENBERG</t>
        </is>
      </c>
      <c r="H204" t="inlineStr">
        <is>
          <t>Kyrkan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46262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46262</v>
      </c>
      <c r="F206" t="inlineStr">
        <is>
          <t>HALLANDS LÄN</t>
        </is>
      </c>
      <c r="G206" t="inlineStr">
        <is>
          <t>FALKENBERG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46262</v>
      </c>
      <c r="F207" t="inlineStr">
        <is>
          <t>HALLANDS LÄN</t>
        </is>
      </c>
      <c r="G207" t="inlineStr">
        <is>
          <t>FALKENBERG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46262</v>
      </c>
      <c r="F208" t="inlineStr">
        <is>
          <t>HALLANDS LÄN</t>
        </is>
      </c>
      <c r="G208" t="inlineStr">
        <is>
          <t>FALKENBERG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46262</v>
      </c>
      <c r="F209" t="inlineStr">
        <is>
          <t>HALLANDS LÄN</t>
        </is>
      </c>
      <c r="G209" t="inlineStr">
        <is>
          <t>FALKENBERG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55141-2025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45968</v>
      </c>
      <c r="E210" s="1" t="n">
        <v>46262</v>
      </c>
      <c r="F210" t="inlineStr">
        <is>
          <t>HALLANDS LÄN</t>
        </is>
      </c>
      <c r="G210" t="inlineStr">
        <is>
          <t>FALKENBERG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46262</v>
      </c>
      <c r="F211" t="inlineStr">
        <is>
          <t>HALLANDS LÄN</t>
        </is>
      </c>
      <c r="G211" t="inlineStr">
        <is>
          <t>FALKENBERG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46262</v>
      </c>
      <c r="F212" t="inlineStr">
        <is>
          <t>HALLANDS LÄN</t>
        </is>
      </c>
      <c r="G212" t="inlineStr">
        <is>
          <t>FALKENBERG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46262</v>
      </c>
      <c r="F213" t="inlineStr">
        <is>
          <t>HALLANDS LÄN</t>
        </is>
      </c>
      <c r="G213" t="inlineStr">
        <is>
          <t>FALKENBERG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46262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46262</v>
      </c>
      <c r="F215" t="inlineStr">
        <is>
          <t>HALLANDS LÄN</t>
        </is>
      </c>
      <c r="G215" t="inlineStr">
        <is>
          <t>FALKENBERG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45975</v>
      </c>
      <c r="E216" s="1" t="n">
        <v>46262</v>
      </c>
      <c r="F216" t="inlineStr">
        <is>
          <t>HALLANDS LÄN</t>
        </is>
      </c>
      <c r="G216" t="inlineStr">
        <is>
          <t>FALKENBERG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46262</v>
      </c>
      <c r="F217" t="inlineStr">
        <is>
          <t>HALLANDS LÄN</t>
        </is>
      </c>
      <c r="G217" t="inlineStr">
        <is>
          <t>FALKENBERG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46262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45467</v>
      </c>
      <c r="E219" s="1" t="n">
        <v>46262</v>
      </c>
      <c r="F219" t="inlineStr">
        <is>
          <t>HALLANDS LÄN</t>
        </is>
      </c>
      <c r="G219" t="inlineStr">
        <is>
          <t>FALKENBERG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42678-2025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46262</v>
      </c>
      <c r="F220" t="inlineStr">
        <is>
          <t>HALLANDS LÄN</t>
        </is>
      </c>
      <c r="G220" t="inlineStr">
        <is>
          <t>FALKENBERG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46262</v>
      </c>
      <c r="F221" t="inlineStr">
        <is>
          <t>HALLANDS LÄN</t>
        </is>
      </c>
      <c r="G221" t="inlineStr">
        <is>
          <t>FALKENBERG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46262</v>
      </c>
      <c r="F222" t="inlineStr">
        <is>
          <t>HALLANDS LÄN</t>
        </is>
      </c>
      <c r="G222" t="inlineStr">
        <is>
          <t>FALKENBERG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46262</v>
      </c>
      <c r="F223" t="inlineStr">
        <is>
          <t>HALLANDS LÄN</t>
        </is>
      </c>
      <c r="G223" t="inlineStr">
        <is>
          <t>FALKENBERG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46262</v>
      </c>
      <c r="F224" t="inlineStr">
        <is>
          <t>HALLANDS LÄN</t>
        </is>
      </c>
      <c r="G224" t="inlineStr">
        <is>
          <t>FALKENBERG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46262</v>
      </c>
      <c r="F225" t="inlineStr">
        <is>
          <t>HALLANDS LÄN</t>
        </is>
      </c>
      <c r="G225" t="inlineStr">
        <is>
          <t>FALKENBERG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46262</v>
      </c>
      <c r="F226" t="inlineStr">
        <is>
          <t>HALLANDS LÄN</t>
        </is>
      </c>
      <c r="G226" t="inlineStr">
        <is>
          <t>FALKENBERG</t>
        </is>
      </c>
      <c r="H226" t="inlineStr">
        <is>
          <t>Kyrkan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45989</v>
      </c>
      <c r="E227" s="1" t="n">
        <v>46262</v>
      </c>
      <c r="F227" t="inlineStr">
        <is>
          <t>HALLANDS LÄN</t>
        </is>
      </c>
      <c r="G227" t="inlineStr">
        <is>
          <t>FALKENBERG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45914</v>
      </c>
      <c r="E228" s="1" t="n">
        <v>46262</v>
      </c>
      <c r="F228" t="inlineStr">
        <is>
          <t>HALLANDS LÄN</t>
        </is>
      </c>
      <c r="G228" t="inlineStr">
        <is>
          <t>FALKENBERG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46262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46262</v>
      </c>
      <c r="F230" t="inlineStr">
        <is>
          <t>HALLANDS LÄN</t>
        </is>
      </c>
      <c r="G230" t="inlineStr">
        <is>
          <t>FALKENBERG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46262</v>
      </c>
      <c r="F231" t="inlineStr">
        <is>
          <t>HALLANDS LÄN</t>
        </is>
      </c>
      <c r="G231" t="inlineStr">
        <is>
          <t>FALKENBERG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46262</v>
      </c>
      <c r="F232" t="inlineStr">
        <is>
          <t>HALLANDS LÄN</t>
        </is>
      </c>
      <c r="G232" t="inlineStr">
        <is>
          <t>FALKENBERG</t>
        </is>
      </c>
      <c r="H232" t="inlineStr">
        <is>
          <t>Kyrkan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46262</v>
      </c>
      <c r="F233" t="inlineStr">
        <is>
          <t>HALLANDS LÄN</t>
        </is>
      </c>
      <c r="G233" t="inlineStr">
        <is>
          <t>FALKENBERG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44882</v>
      </c>
      <c r="E234" s="1" t="n">
        <v>46262</v>
      </c>
      <c r="F234" t="inlineStr">
        <is>
          <t>HALLANDS LÄN</t>
        </is>
      </c>
      <c r="G234" t="inlineStr">
        <is>
          <t>FALKENBERG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46262</v>
      </c>
      <c r="F235" t="inlineStr">
        <is>
          <t>HALLANDS LÄN</t>
        </is>
      </c>
      <c r="G235" t="inlineStr">
        <is>
          <t>FALKENBERG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46262</v>
      </c>
      <c r="F236" t="inlineStr">
        <is>
          <t>HALLANDS LÄN</t>
        </is>
      </c>
      <c r="G236" t="inlineStr">
        <is>
          <t>FALKENBERG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46262</v>
      </c>
      <c r="F237" t="inlineStr">
        <is>
          <t>HALLANDS LÄN</t>
        </is>
      </c>
      <c r="G237" t="inlineStr">
        <is>
          <t>FALKENBERG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46262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46262</v>
      </c>
      <c r="F239" t="inlineStr">
        <is>
          <t>HALLANDS LÄN</t>
        </is>
      </c>
      <c r="G239" t="inlineStr">
        <is>
          <t>FALKENBERG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45836</v>
      </c>
      <c r="E240" s="1" t="n">
        <v>46262</v>
      </c>
      <c r="F240" t="inlineStr">
        <is>
          <t>HALLANDS LÄN</t>
        </is>
      </c>
      <c r="G240" t="inlineStr">
        <is>
          <t>FALKENBERG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46262</v>
      </c>
      <c r="F241" t="inlineStr">
        <is>
          <t>HALLANDS LÄN</t>
        </is>
      </c>
      <c r="G241" t="inlineStr">
        <is>
          <t>FALKENBERG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46262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46262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46262</v>
      </c>
      <c r="F244" t="inlineStr">
        <is>
          <t>HALLANDS LÄN</t>
        </is>
      </c>
      <c r="G244" t="inlineStr">
        <is>
          <t>FALKENBERG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46262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45127</v>
      </c>
      <c r="E246" s="1" t="n">
        <v>46262</v>
      </c>
      <c r="F246" t="inlineStr">
        <is>
          <t>HALLANDS LÄN</t>
        </is>
      </c>
      <c r="G246" t="inlineStr">
        <is>
          <t>FALKENBERG</t>
        </is>
      </c>
      <c r="H246" t="inlineStr">
        <is>
          <t>Kommuner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46262</v>
      </c>
      <c r="F247" t="inlineStr">
        <is>
          <t>HALLANDS LÄN</t>
        </is>
      </c>
      <c r="G247" t="inlineStr">
        <is>
          <t>FALKENBERG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46262</v>
      </c>
      <c r="F248" t="inlineStr">
        <is>
          <t>HALLANDS LÄN</t>
        </is>
      </c>
      <c r="G248" t="inlineStr">
        <is>
          <t>FALKENBERG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44986</v>
      </c>
      <c r="E249" s="1" t="n">
        <v>46262</v>
      </c>
      <c r="F249" t="inlineStr">
        <is>
          <t>HALLANDS LÄN</t>
        </is>
      </c>
      <c r="G249" t="inlineStr">
        <is>
          <t>FALKENBERG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46262</v>
      </c>
      <c r="F250" t="inlineStr">
        <is>
          <t>HALLANDS LÄN</t>
        </is>
      </c>
      <c r="G250" t="inlineStr">
        <is>
          <t>FALKENBERG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46262</v>
      </c>
      <c r="F251" t="inlineStr">
        <is>
          <t>HALLANDS LÄN</t>
        </is>
      </c>
      <c r="G251" t="inlineStr">
        <is>
          <t>FALKENBERG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46262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46262</v>
      </c>
      <c r="F253" t="inlineStr">
        <is>
          <t>HALLANDS LÄN</t>
        </is>
      </c>
      <c r="G253" t="inlineStr">
        <is>
          <t>FALKENBERG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46262</v>
      </c>
      <c r="F254" t="inlineStr">
        <is>
          <t>HALLANDS LÄN</t>
        </is>
      </c>
      <c r="G254" t="inlineStr">
        <is>
          <t>FALKENBERG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46262</v>
      </c>
      <c r="F255" t="inlineStr">
        <is>
          <t>HALLANDS LÄN</t>
        </is>
      </c>
      <c r="G255" t="inlineStr">
        <is>
          <t>FALKENBERG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46262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46262</v>
      </c>
      <c r="F257" t="inlineStr">
        <is>
          <t>HALLANDS LÄN</t>
        </is>
      </c>
      <c r="G257" t="inlineStr">
        <is>
          <t>FALKENBERG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45595</v>
      </c>
      <c r="E258" s="1" t="n">
        <v>46262</v>
      </c>
      <c r="F258" t="inlineStr">
        <is>
          <t>HALLANDS LÄN</t>
        </is>
      </c>
      <c r="G258" t="inlineStr">
        <is>
          <t>FALKENBERG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45848</v>
      </c>
      <c r="E259" s="1" t="n">
        <v>46262</v>
      </c>
      <c r="F259" t="inlineStr">
        <is>
          <t>HALLANDS LÄN</t>
        </is>
      </c>
      <c r="G259" t="inlineStr">
        <is>
          <t>FALKENBERG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46262</v>
      </c>
      <c r="F260" t="inlineStr">
        <is>
          <t>HALLANDS LÄN</t>
        </is>
      </c>
      <c r="G260" t="inlineStr">
        <is>
          <t>FALKENBERG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18813-2023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45044</v>
      </c>
      <c r="E261" s="1" t="n">
        <v>46262</v>
      </c>
      <c r="F261" t="inlineStr">
        <is>
          <t>HALLANDS LÄN</t>
        </is>
      </c>
      <c r="G261" t="inlineStr">
        <is>
          <t>FALKENBERG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44960-2024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46262</v>
      </c>
      <c r="F262" t="inlineStr">
        <is>
          <t>HALLANDS LÄN</t>
        </is>
      </c>
      <c r="G262" t="inlineStr">
        <is>
          <t>FALKENBERG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46262</v>
      </c>
      <c r="F263" t="inlineStr">
        <is>
          <t>HALLANDS LÄN</t>
        </is>
      </c>
      <c r="G263" t="inlineStr">
        <is>
          <t>FALKENBERG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46262</v>
      </c>
      <c r="F264" t="inlineStr">
        <is>
          <t>HALLANDS LÄN</t>
        </is>
      </c>
      <c r="G264" t="inlineStr">
        <is>
          <t>FALKENBERG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45548</v>
      </c>
      <c r="E265" s="1" t="n">
        <v>46262</v>
      </c>
      <c r="F265" t="inlineStr">
        <is>
          <t>HALLANDS LÄN</t>
        </is>
      </c>
      <c r="G265" t="inlineStr">
        <is>
          <t>FALKENBERG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18773-2022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44689</v>
      </c>
      <c r="E266" s="1" t="n">
        <v>46262</v>
      </c>
      <c r="F266" t="inlineStr">
        <is>
          <t>HALLANDS LÄN</t>
        </is>
      </c>
      <c r="G266" t="inlineStr">
        <is>
          <t>FALKENBERG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46262</v>
      </c>
      <c r="F267" t="inlineStr">
        <is>
          <t>HALLANDS LÄN</t>
        </is>
      </c>
      <c r="G267" t="inlineStr">
        <is>
          <t>FALKENBERG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46262</v>
      </c>
      <c r="F268" t="inlineStr">
        <is>
          <t>HALLANDS LÄN</t>
        </is>
      </c>
      <c r="G268" t="inlineStr">
        <is>
          <t>FALKENBERG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46262</v>
      </c>
      <c r="F269" t="inlineStr">
        <is>
          <t>HALLANDS LÄN</t>
        </is>
      </c>
      <c r="G269" t="inlineStr">
        <is>
          <t>FALKENBERG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46262</v>
      </c>
      <c r="F270" t="inlineStr">
        <is>
          <t>HALLANDS LÄN</t>
        </is>
      </c>
      <c r="G270" t="inlineStr">
        <is>
          <t>FALKENBERG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46262</v>
      </c>
      <c r="F271" t="inlineStr">
        <is>
          <t>HALLANDS LÄN</t>
        </is>
      </c>
      <c r="G271" t="inlineStr">
        <is>
          <t>FALKENBERG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45188</v>
      </c>
      <c r="E272" s="1" t="n">
        <v>46262</v>
      </c>
      <c r="F272" t="inlineStr">
        <is>
          <t>HALLANDS LÄN</t>
        </is>
      </c>
      <c r="G272" t="inlineStr">
        <is>
          <t>FALKENBERG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45750</v>
      </c>
      <c r="E273" s="1" t="n">
        <v>46262</v>
      </c>
      <c r="F273" t="inlineStr">
        <is>
          <t>HALLANDS LÄN</t>
        </is>
      </c>
      <c r="G273" t="inlineStr">
        <is>
          <t>FALKENBERG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46262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45777</v>
      </c>
      <c r="E275" s="1" t="n">
        <v>46262</v>
      </c>
      <c r="F275" t="inlineStr">
        <is>
          <t>HALLANDS LÄN</t>
        </is>
      </c>
      <c r="G275" t="inlineStr">
        <is>
          <t>FALKENBERG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46262</v>
      </c>
      <c r="F276" t="inlineStr">
        <is>
          <t>HALLANDS LÄN</t>
        </is>
      </c>
      <c r="G276" t="inlineStr">
        <is>
          <t>FALKENBERG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46262</v>
      </c>
      <c r="F277" t="inlineStr">
        <is>
          <t>HALLANDS LÄN</t>
        </is>
      </c>
      <c r="G277" t="inlineStr">
        <is>
          <t>FALKENBERG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46262</v>
      </c>
      <c r="F278" t="inlineStr">
        <is>
          <t>HALLANDS LÄN</t>
        </is>
      </c>
      <c r="G278" t="inlineStr">
        <is>
          <t>FALKENBERG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45462</v>
      </c>
      <c r="E279" s="1" t="n">
        <v>46262</v>
      </c>
      <c r="F279" t="inlineStr">
        <is>
          <t>HALLANDS LÄN</t>
        </is>
      </c>
      <c r="G279" t="inlineStr">
        <is>
          <t>FALKENBERG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45184</v>
      </c>
      <c r="E280" s="1" t="n">
        <v>46262</v>
      </c>
      <c r="F280" t="inlineStr">
        <is>
          <t>HALLANDS LÄN</t>
        </is>
      </c>
      <c r="G280" t="inlineStr">
        <is>
          <t>FALKENBERG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45184</v>
      </c>
      <c r="E281" s="1" t="n">
        <v>46262</v>
      </c>
      <c r="F281" t="inlineStr">
        <is>
          <t>HALLANDS LÄN</t>
        </is>
      </c>
      <c r="G281" t="inlineStr">
        <is>
          <t>FALKENBERG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46262</v>
      </c>
      <c r="F282" t="inlineStr">
        <is>
          <t>HALLANDS LÄN</t>
        </is>
      </c>
      <c r="G282" t="inlineStr">
        <is>
          <t>FALKENBERG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45249</v>
      </c>
      <c r="E283" s="1" t="n">
        <v>46262</v>
      </c>
      <c r="F283" t="inlineStr">
        <is>
          <t>HALLANDS LÄN</t>
        </is>
      </c>
      <c r="G283" t="inlineStr">
        <is>
          <t>FALKENBERG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46262</v>
      </c>
      <c r="F284" t="inlineStr">
        <is>
          <t>HALLANDS LÄN</t>
        </is>
      </c>
      <c r="G284" t="inlineStr">
        <is>
          <t>FALKENBERG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45974-2022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46262</v>
      </c>
      <c r="F285" t="inlineStr">
        <is>
          <t>HALLANDS LÄN</t>
        </is>
      </c>
      <c r="G285" t="inlineStr">
        <is>
          <t>FALKENBERG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46262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46262</v>
      </c>
      <c r="F287" t="inlineStr">
        <is>
          <t>HALLANDS LÄN</t>
        </is>
      </c>
      <c r="G287" t="inlineStr">
        <is>
          <t>FALKENBERG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45422</v>
      </c>
      <c r="E288" s="1" t="n">
        <v>46262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46262</v>
      </c>
      <c r="F289" t="inlineStr">
        <is>
          <t>HALLANDS LÄN</t>
        </is>
      </c>
      <c r="G289" t="inlineStr">
        <is>
          <t>FALKENBERG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46262</v>
      </c>
      <c r="F290" t="inlineStr">
        <is>
          <t>HALLANDS LÄN</t>
        </is>
      </c>
      <c r="G290" t="inlineStr">
        <is>
          <t>FALKENBERG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46262</v>
      </c>
      <c r="F291" t="inlineStr">
        <is>
          <t>HALLANDS LÄN</t>
        </is>
      </c>
      <c r="G291" t="inlineStr">
        <is>
          <t>FALKENBERG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46262</v>
      </c>
      <c r="F292" t="inlineStr">
        <is>
          <t>HALLANDS LÄN</t>
        </is>
      </c>
      <c r="G292" t="inlineStr">
        <is>
          <t>FALKENBERG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44767</v>
      </c>
      <c r="E293" s="1" t="n">
        <v>46262</v>
      </c>
      <c r="F293" t="inlineStr">
        <is>
          <t>HALLANDS LÄN</t>
        </is>
      </c>
      <c r="G293" t="inlineStr">
        <is>
          <t>FALKENBERG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46262</v>
      </c>
      <c r="F294" t="inlineStr">
        <is>
          <t>HALLANDS LÄN</t>
        </is>
      </c>
      <c r="G294" t="inlineStr">
        <is>
          <t>FALKENBERG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46262</v>
      </c>
      <c r="F295" t="inlineStr">
        <is>
          <t>HALLANDS LÄN</t>
        </is>
      </c>
      <c r="G295" t="inlineStr">
        <is>
          <t>FALKENBERG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44693</v>
      </c>
      <c r="E296" s="1" t="n">
        <v>46262</v>
      </c>
      <c r="F296" t="inlineStr">
        <is>
          <t>HALLANDS LÄN</t>
        </is>
      </c>
      <c r="G296" t="inlineStr">
        <is>
          <t>FALKENBERG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20250-2024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45434</v>
      </c>
      <c r="E297" s="1" t="n">
        <v>46262</v>
      </c>
      <c r="F297" t="inlineStr">
        <is>
          <t>HALLANDS LÄN</t>
        </is>
      </c>
      <c r="G297" t="inlineStr">
        <is>
          <t>FALKENBERG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46262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45074</v>
      </c>
      <c r="E299" s="1" t="n">
        <v>46262</v>
      </c>
      <c r="F299" t="inlineStr">
        <is>
          <t>HALLANDS LÄN</t>
        </is>
      </c>
      <c r="G299" t="inlineStr">
        <is>
          <t>FALKENBERG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46262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44943</v>
      </c>
      <c r="E301" s="1" t="n">
        <v>46262</v>
      </c>
      <c r="F301" t="inlineStr">
        <is>
          <t>HALLANDS LÄN</t>
        </is>
      </c>
      <c r="G301" t="inlineStr">
        <is>
          <t>FALKENBERG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44818</v>
      </c>
      <c r="E302" s="1" t="n">
        <v>46262</v>
      </c>
      <c r="F302" t="inlineStr">
        <is>
          <t>HALLANDS LÄN</t>
        </is>
      </c>
      <c r="G302" t="inlineStr">
        <is>
          <t>FALKENBERG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61931-2021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44502</v>
      </c>
      <c r="E303" s="1" t="n">
        <v>46262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46262</v>
      </c>
      <c r="F304" t="inlineStr">
        <is>
          <t>HALLANDS LÄN</t>
        </is>
      </c>
      <c r="G304" t="inlineStr">
        <is>
          <t>FALKENBERG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65081-2021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44515</v>
      </c>
      <c r="E305" s="1" t="n">
        <v>46262</v>
      </c>
      <c r="F305" t="inlineStr">
        <is>
          <t>HALLANDS LÄN</t>
        </is>
      </c>
      <c r="G305" t="inlineStr">
        <is>
          <t>FALKENBERG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45337</v>
      </c>
      <c r="E306" s="1" t="n">
        <v>46262</v>
      </c>
      <c r="F306" t="inlineStr">
        <is>
          <t>HALLANDS LÄN</t>
        </is>
      </c>
      <c r="G306" t="inlineStr">
        <is>
          <t>FALKENBERG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46262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45387</v>
      </c>
      <c r="E308" s="1" t="n">
        <v>46262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46262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46262</v>
      </c>
      <c r="F310" t="inlineStr">
        <is>
          <t>HALLANDS LÄN</t>
        </is>
      </c>
      <c r="G310" t="inlineStr">
        <is>
          <t>FALKENBERG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45068</v>
      </c>
      <c r="E311" s="1" t="n">
        <v>46262</v>
      </c>
      <c r="F311" t="inlineStr">
        <is>
          <t>HALLANDS LÄN</t>
        </is>
      </c>
      <c r="G311" t="inlineStr">
        <is>
          <t>FALKENBERG</t>
        </is>
      </c>
      <c r="I311" t="n">
        <v>13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44866</v>
      </c>
      <c r="E312" s="1" t="n">
        <v>46262</v>
      </c>
      <c r="F312" t="inlineStr">
        <is>
          <t>HALLANDS LÄN</t>
        </is>
      </c>
      <c r="G312" t="inlineStr">
        <is>
          <t>FALKENBERG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46262</v>
      </c>
      <c r="F313" t="inlineStr">
        <is>
          <t>HALLANDS LÄN</t>
        </is>
      </c>
      <c r="G313" t="inlineStr">
        <is>
          <t>FALKENBERG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45422</v>
      </c>
      <c r="E314" s="1" t="n">
        <v>46262</v>
      </c>
      <c r="F314" t="inlineStr">
        <is>
          <t>HALLANDS LÄN</t>
        </is>
      </c>
      <c r="G314" t="inlineStr">
        <is>
          <t>FALKENBERG</t>
        </is>
      </c>
      <c r="H314" t="inlineStr">
        <is>
          <t>Bergvik skog väst AB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62712-2023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46262</v>
      </c>
      <c r="F315" t="inlineStr">
        <is>
          <t>HALLANDS LÄN</t>
        </is>
      </c>
      <c r="G315" t="inlineStr">
        <is>
          <t>FALKENBERG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66747-2021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44521</v>
      </c>
      <c r="E316" s="1" t="n">
        <v>46262</v>
      </c>
      <c r="F316" t="inlineStr">
        <is>
          <t>HALLANDS LÄN</t>
        </is>
      </c>
      <c r="G316" t="inlineStr">
        <is>
          <t>FALKENBERG</t>
        </is>
      </c>
      <c r="I316" t="n">
        <v>10.7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56652-2023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45243</v>
      </c>
      <c r="E317" s="1" t="n">
        <v>46262</v>
      </c>
      <c r="F317" t="inlineStr">
        <is>
          <t>HALLANDS LÄN</t>
        </is>
      </c>
      <c r="G317" t="inlineStr">
        <is>
          <t>FALKENBERG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46262</v>
      </c>
      <c r="F318" t="inlineStr">
        <is>
          <t>HALLANDS LÄN</t>
        </is>
      </c>
      <c r="G318" t="inlineStr">
        <is>
          <t>FALKENBERG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45248</v>
      </c>
      <c r="E319" s="1" t="n">
        <v>46262</v>
      </c>
      <c r="F319" t="inlineStr">
        <is>
          <t>HALLANDS LÄN</t>
        </is>
      </c>
      <c r="G319" t="inlineStr">
        <is>
          <t>FALKENBERG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45249</v>
      </c>
      <c r="E320" s="1" t="n">
        <v>46262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45270</v>
      </c>
      <c r="E321" s="1" t="n">
        <v>46262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44952</v>
      </c>
      <c r="E322" s="1" t="n">
        <v>46262</v>
      </c>
      <c r="F322" t="inlineStr">
        <is>
          <t>HALLANDS LÄN</t>
        </is>
      </c>
      <c r="G322" t="inlineStr">
        <is>
          <t>FALKENBERG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18323-2024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45422</v>
      </c>
      <c r="E323" s="1" t="n">
        <v>46262</v>
      </c>
      <c r="F323" t="inlineStr">
        <is>
          <t>HALLANDS LÄN</t>
        </is>
      </c>
      <c r="G323" t="inlineStr">
        <is>
          <t>FALKENBERG</t>
        </is>
      </c>
      <c r="H323" t="inlineStr">
        <is>
          <t>Bergvik skog väst AB</t>
        </is>
      </c>
      <c r="I323" t="n">
        <v>10.4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45682</v>
      </c>
      <c r="E324" s="1" t="n">
        <v>46262</v>
      </c>
      <c r="F324" t="inlineStr">
        <is>
          <t>HALLANDS LÄN</t>
        </is>
      </c>
      <c r="G324" t="inlineStr">
        <is>
          <t>FALKENBERG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45682</v>
      </c>
      <c r="E325" s="1" t="n">
        <v>46262</v>
      </c>
      <c r="F325" t="inlineStr">
        <is>
          <t>HALLANDS LÄN</t>
        </is>
      </c>
      <c r="G325" t="inlineStr">
        <is>
          <t>FALKENBERG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49761-2025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45940</v>
      </c>
      <c r="E326" s="1" t="n">
        <v>46262</v>
      </c>
      <c r="F326" t="inlineStr">
        <is>
          <t>HALLANDS LÄN</t>
        </is>
      </c>
      <c r="G326" t="inlineStr">
        <is>
          <t>FALKENBERG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44974</v>
      </c>
      <c r="E327" s="1" t="n">
        <v>46262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46262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45249</v>
      </c>
      <c r="E329" s="1" t="n">
        <v>46262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44952</v>
      </c>
      <c r="E330" s="1" t="n">
        <v>46262</v>
      </c>
      <c r="F330" t="inlineStr">
        <is>
          <t>HALLANDS LÄN</t>
        </is>
      </c>
      <c r="G330" t="inlineStr">
        <is>
          <t>FALKENBERG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45434</v>
      </c>
      <c r="E331" s="1" t="n">
        <v>46262</v>
      </c>
      <c r="F331" t="inlineStr">
        <is>
          <t>HALLANDS LÄN</t>
        </is>
      </c>
      <c r="G331" t="inlineStr">
        <is>
          <t>FALKENBERG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46262</v>
      </c>
      <c r="F332" t="inlineStr">
        <is>
          <t>HALLANDS LÄN</t>
        </is>
      </c>
      <c r="G332" t="inlineStr">
        <is>
          <t>FALKENBERG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46262</v>
      </c>
      <c r="F333" t="inlineStr">
        <is>
          <t>HALLANDS LÄN</t>
        </is>
      </c>
      <c r="G333" t="inlineStr">
        <is>
          <t>FALKENBERG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45305</v>
      </c>
      <c r="E334" s="1" t="n">
        <v>46262</v>
      </c>
      <c r="F334" t="inlineStr">
        <is>
          <t>HALLANDS LÄN</t>
        </is>
      </c>
      <c r="G334" t="inlineStr">
        <is>
          <t>FALKENBERG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46262</v>
      </c>
      <c r="F335" t="inlineStr">
        <is>
          <t>HALLANDS LÄN</t>
        </is>
      </c>
      <c r="G335" t="inlineStr">
        <is>
          <t>FALKENBERG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45552</v>
      </c>
      <c r="E336" s="1" t="n">
        <v>46262</v>
      </c>
      <c r="F336" t="inlineStr">
        <is>
          <t>HALLANDS LÄN</t>
        </is>
      </c>
      <c r="G336" t="inlineStr">
        <is>
          <t>FALKENBERG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46262</v>
      </c>
      <c r="F337" t="inlineStr">
        <is>
          <t>HALLANDS LÄN</t>
        </is>
      </c>
      <c r="G337" t="inlineStr">
        <is>
          <t>FALKENBERG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46262</v>
      </c>
      <c r="F338" t="inlineStr">
        <is>
          <t>HALLANDS LÄN</t>
        </is>
      </c>
      <c r="G338" t="inlineStr">
        <is>
          <t>FALKENBERG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45481</v>
      </c>
      <c r="E339" s="1" t="n">
        <v>46262</v>
      </c>
      <c r="F339" t="inlineStr">
        <is>
          <t>HALLANDS LÄN</t>
        </is>
      </c>
      <c r="G339" t="inlineStr">
        <is>
          <t>FALKENBERG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46262</v>
      </c>
      <c r="F340" t="inlineStr">
        <is>
          <t>HALLANDS LÄN</t>
        </is>
      </c>
      <c r="G340" t="inlineStr">
        <is>
          <t>FALKENBERG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46262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58939-2022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46262</v>
      </c>
      <c r="F342" t="inlineStr">
        <is>
          <t>HALLANDS LÄN</t>
        </is>
      </c>
      <c r="G342" t="inlineStr">
        <is>
          <t>FALKENBERG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14895-2023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45015</v>
      </c>
      <c r="E343" s="1" t="n">
        <v>46262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46262</v>
      </c>
      <c r="F344" t="inlineStr">
        <is>
          <t>HALLANDS LÄN</t>
        </is>
      </c>
      <c r="G344" t="inlineStr">
        <is>
          <t>FALKENBERG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46004</v>
      </c>
      <c r="E345" s="1" t="n">
        <v>46262</v>
      </c>
      <c r="F345" t="inlineStr">
        <is>
          <t>HALLANDS LÄN</t>
        </is>
      </c>
      <c r="G345" t="inlineStr">
        <is>
          <t>FALKENBERG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46262</v>
      </c>
      <c r="F346" t="inlineStr">
        <is>
          <t>HALLANDS LÄN</t>
        </is>
      </c>
      <c r="G346" t="inlineStr">
        <is>
          <t>FALKENBERG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55270-2022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44887</v>
      </c>
      <c r="E347" s="1" t="n">
        <v>46262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46262</v>
      </c>
      <c r="F348" t="inlineStr">
        <is>
          <t>HALLANDS LÄN</t>
        </is>
      </c>
      <c r="G348" t="inlineStr">
        <is>
          <t>FALKENBERG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38010-2022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44811</v>
      </c>
      <c r="E349" s="1" t="n">
        <v>46262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45350</v>
      </c>
      <c r="E350" s="1" t="n">
        <v>46262</v>
      </c>
      <c r="F350" t="inlineStr">
        <is>
          <t>HALLANDS LÄN</t>
        </is>
      </c>
      <c r="G350" t="inlineStr">
        <is>
          <t>FALKENBERG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46262</v>
      </c>
      <c r="F351" t="inlineStr">
        <is>
          <t>HALLANDS LÄN</t>
        </is>
      </c>
      <c r="G351" t="inlineStr">
        <is>
          <t>FALKENBERG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46262</v>
      </c>
      <c r="F352" t="inlineStr">
        <is>
          <t>HALLANDS LÄN</t>
        </is>
      </c>
      <c r="G352" t="inlineStr">
        <is>
          <t>FALKENBERG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45272</v>
      </c>
      <c r="E353" s="1" t="n">
        <v>46262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45243</v>
      </c>
      <c r="E354" s="1" t="n">
        <v>46262</v>
      </c>
      <c r="F354" t="inlineStr">
        <is>
          <t>HALLANDS LÄN</t>
        </is>
      </c>
      <c r="G354" t="inlineStr">
        <is>
          <t>FALKENBERG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45533</v>
      </c>
      <c r="E355" s="1" t="n">
        <v>46262</v>
      </c>
      <c r="F355" t="inlineStr">
        <is>
          <t>HALLANDS LÄN</t>
        </is>
      </c>
      <c r="G355" t="inlineStr">
        <is>
          <t>FALKENBERG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44910</v>
      </c>
      <c r="E356" s="1" t="n">
        <v>46262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40581-2024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45555</v>
      </c>
      <c r="E357" s="1" t="n">
        <v>46262</v>
      </c>
      <c r="F357" t="inlineStr">
        <is>
          <t>HALLANDS LÄN</t>
        </is>
      </c>
      <c r="G357" t="inlineStr">
        <is>
          <t>FALKENBERG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45581</v>
      </c>
      <c r="E358" s="1" t="n">
        <v>46262</v>
      </c>
      <c r="F358" t="inlineStr">
        <is>
          <t>HALLANDS LÄN</t>
        </is>
      </c>
      <c r="G358" t="inlineStr">
        <is>
          <t>FALKENBERG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46262</v>
      </c>
      <c r="F359" t="inlineStr">
        <is>
          <t>HALLANDS LÄN</t>
        </is>
      </c>
      <c r="G359" t="inlineStr">
        <is>
          <t>FALKENBERG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45673</v>
      </c>
      <c r="E360" s="1" t="n">
        <v>46262</v>
      </c>
      <c r="F360" t="inlineStr">
        <is>
          <t>HALLANDS LÄN</t>
        </is>
      </c>
      <c r="G360" t="inlineStr">
        <is>
          <t>FALKENBERG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46262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46262</v>
      </c>
      <c r="F362" t="inlineStr">
        <is>
          <t>HALLANDS LÄN</t>
        </is>
      </c>
      <c r="G362" t="inlineStr">
        <is>
          <t>FALKENBERG</t>
        </is>
      </c>
      <c r="H362" t="inlineStr">
        <is>
          <t>Naturvårdsverket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46262</v>
      </c>
      <c r="F363" t="inlineStr">
        <is>
          <t>HALLANDS LÄN</t>
        </is>
      </c>
      <c r="G363" t="inlineStr">
        <is>
          <t>FALKENBERG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12803-2022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46262</v>
      </c>
      <c r="F364" t="inlineStr">
        <is>
          <t>HALLANDS LÄN</t>
        </is>
      </c>
      <c r="G364" t="inlineStr">
        <is>
          <t>FALKENBERG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18710-2022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44687</v>
      </c>
      <c r="E365" s="1" t="n">
        <v>46262</v>
      </c>
      <c r="F365" t="inlineStr">
        <is>
          <t>HALLANDS LÄN</t>
        </is>
      </c>
      <c r="G365" t="inlineStr">
        <is>
          <t>FALKENBERG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46262</v>
      </c>
      <c r="F366" t="inlineStr">
        <is>
          <t>HALLANDS LÄN</t>
        </is>
      </c>
      <c r="G366" t="inlineStr">
        <is>
          <t>FALKENBERG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46262</v>
      </c>
      <c r="F367" t="inlineStr">
        <is>
          <t>HALLANDS LÄN</t>
        </is>
      </c>
      <c r="G367" t="inlineStr">
        <is>
          <t>FALKENBERG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46262</v>
      </c>
      <c r="F368" t="inlineStr">
        <is>
          <t>HALLANDS LÄN</t>
        </is>
      </c>
      <c r="G368" t="inlineStr">
        <is>
          <t>FALKENBERG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45524</v>
      </c>
      <c r="E369" s="1" t="n">
        <v>46262</v>
      </c>
      <c r="F369" t="inlineStr">
        <is>
          <t>HALLANDS LÄN</t>
        </is>
      </c>
      <c r="G369" t="inlineStr">
        <is>
          <t>FALKENBERG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13113-2022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44644</v>
      </c>
      <c r="E370" s="1" t="n">
        <v>46262</v>
      </c>
      <c r="F370" t="inlineStr">
        <is>
          <t>HALLANDS LÄN</t>
        </is>
      </c>
      <c r="G370" t="inlineStr">
        <is>
          <t>FALKENBERG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45552</v>
      </c>
      <c r="E371" s="1" t="n">
        <v>46262</v>
      </c>
      <c r="F371" t="inlineStr">
        <is>
          <t>HALLANDS LÄN</t>
        </is>
      </c>
      <c r="G371" t="inlineStr">
        <is>
          <t>FALKENBERG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46262</v>
      </c>
      <c r="F372" t="inlineStr">
        <is>
          <t>HALLANDS LÄN</t>
        </is>
      </c>
      <c r="G372" t="inlineStr">
        <is>
          <t>FALKENBERG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64404-2023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45280</v>
      </c>
      <c r="E373" s="1" t="n">
        <v>46262</v>
      </c>
      <c r="F373" t="inlineStr">
        <is>
          <t>HALLANDS LÄN</t>
        </is>
      </c>
      <c r="G373" t="inlineStr">
        <is>
          <t>FALKENBERG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46262</v>
      </c>
      <c r="F374" t="inlineStr">
        <is>
          <t>HALLANDS LÄN</t>
        </is>
      </c>
      <c r="G374" t="inlineStr">
        <is>
          <t>FALKENBERG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46262</v>
      </c>
      <c r="F375" t="inlineStr">
        <is>
          <t>HALLANDS LÄN</t>
        </is>
      </c>
      <c r="G375" t="inlineStr">
        <is>
          <t>FALKENBERG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46262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11574-2022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44631</v>
      </c>
      <c r="E377" s="1" t="n">
        <v>46262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46262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44584</v>
      </c>
      <c r="E379" s="1" t="n">
        <v>46262</v>
      </c>
      <c r="F379" t="inlineStr">
        <is>
          <t>HALLANDS LÄN</t>
        </is>
      </c>
      <c r="G379" t="inlineStr">
        <is>
          <t>FALKENBERG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46262</v>
      </c>
      <c r="F380" t="inlineStr">
        <is>
          <t>HALLANDS LÄN</t>
        </is>
      </c>
      <c r="G380" t="inlineStr">
        <is>
          <t>FALKENBERG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46262</v>
      </c>
      <c r="F381" t="inlineStr">
        <is>
          <t>HALLANDS LÄN</t>
        </is>
      </c>
      <c r="G381" t="inlineStr">
        <is>
          <t>FALKENBERG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45350</v>
      </c>
      <c r="E382" s="1" t="n">
        <v>46262</v>
      </c>
      <c r="F382" t="inlineStr">
        <is>
          <t>HALLANDS LÄN</t>
        </is>
      </c>
      <c r="G382" t="inlineStr">
        <is>
          <t>FALKENBERG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46262</v>
      </c>
      <c r="F383" t="inlineStr">
        <is>
          <t>HALLANDS LÄN</t>
        </is>
      </c>
      <c r="G383" t="inlineStr">
        <is>
          <t>FALKENBERG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54606-2025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45966</v>
      </c>
      <c r="E384" s="1" t="n">
        <v>46262</v>
      </c>
      <c r="F384" t="inlineStr">
        <is>
          <t>HALLANDS LÄN</t>
        </is>
      </c>
      <c r="G384" t="inlineStr">
        <is>
          <t>FALKENBERG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44946</v>
      </c>
      <c r="E385" s="1" t="n">
        <v>46262</v>
      </c>
      <c r="F385" t="inlineStr">
        <is>
          <t>HALLANDS LÄN</t>
        </is>
      </c>
      <c r="G385" t="inlineStr">
        <is>
          <t>FALKENBERG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38462-2024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45546</v>
      </c>
      <c r="E386" s="1" t="n">
        <v>46262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46262</v>
      </c>
      <c r="F387" t="inlineStr">
        <is>
          <t>HALLANDS LÄN</t>
        </is>
      </c>
      <c r="G387" t="inlineStr">
        <is>
          <t>FALKENBERG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45691</v>
      </c>
      <c r="E388" s="1" t="n">
        <v>46262</v>
      </c>
      <c r="F388" t="inlineStr">
        <is>
          <t>HALLANDS LÄN</t>
        </is>
      </c>
      <c r="G388" t="inlineStr">
        <is>
          <t>FALKENBERG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46262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46262</v>
      </c>
      <c r="F390" t="inlineStr">
        <is>
          <t>HALLANDS LÄN</t>
        </is>
      </c>
      <c r="G390" t="inlineStr">
        <is>
          <t>FALKENBERG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46070</v>
      </c>
      <c r="E391" s="1" t="n">
        <v>46262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46262</v>
      </c>
      <c r="F392" t="inlineStr">
        <is>
          <t>HALLANDS LÄN</t>
        </is>
      </c>
      <c r="G392" t="inlineStr">
        <is>
          <t>FALKENBERG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44977</v>
      </c>
      <c r="E393" s="1" t="n">
        <v>46262</v>
      </c>
      <c r="F393" t="inlineStr">
        <is>
          <t>HALLANDS LÄN</t>
        </is>
      </c>
      <c r="G393" t="inlineStr">
        <is>
          <t>FALKENBERG</t>
        </is>
      </c>
      <c r="H393" t="inlineStr">
        <is>
          <t>Bergvik skog väst AB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45667</v>
      </c>
      <c r="E394" s="1" t="n">
        <v>46262</v>
      </c>
      <c r="F394" t="inlineStr">
        <is>
          <t>HALLANDS LÄN</t>
        </is>
      </c>
      <c r="G394" t="inlineStr">
        <is>
          <t>FALKENBERG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46262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46262</v>
      </c>
      <c r="F396" t="inlineStr">
        <is>
          <t>HALLANDS LÄN</t>
        </is>
      </c>
      <c r="G396" t="inlineStr">
        <is>
          <t>FALKENBERG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46262</v>
      </c>
      <c r="F397" t="inlineStr">
        <is>
          <t>HALLANDS LÄN</t>
        </is>
      </c>
      <c r="G397" t="inlineStr">
        <is>
          <t>FALKENBERG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46077</v>
      </c>
      <c r="E398" s="1" t="n">
        <v>46262</v>
      </c>
      <c r="F398" t="inlineStr">
        <is>
          <t>HALLANDS LÄN</t>
        </is>
      </c>
      <c r="G398" t="inlineStr">
        <is>
          <t>FALKENBERG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46082</v>
      </c>
      <c r="E399" s="1" t="n">
        <v>46262</v>
      </c>
      <c r="F399" t="inlineStr">
        <is>
          <t>HALLANDS LÄN</t>
        </is>
      </c>
      <c r="G399" t="inlineStr">
        <is>
          <t>FALKENBERG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46262</v>
      </c>
      <c r="F400" t="inlineStr">
        <is>
          <t>HALLANDS LÄN</t>
        </is>
      </c>
      <c r="G400" t="inlineStr">
        <is>
          <t>FALKENBERG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46082</v>
      </c>
      <c r="E401" s="1" t="n">
        <v>46262</v>
      </c>
      <c r="F401" t="inlineStr">
        <is>
          <t>HALLANDS LÄN</t>
        </is>
      </c>
      <c r="G401" t="inlineStr">
        <is>
          <t>FALKENBERG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45751</v>
      </c>
      <c r="E402" s="1" t="n">
        <v>46262</v>
      </c>
      <c r="F402" t="inlineStr">
        <is>
          <t>HALLANDS LÄN</t>
        </is>
      </c>
      <c r="G402" t="inlineStr">
        <is>
          <t>FALKENBERG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44970</v>
      </c>
      <c r="E403" s="1" t="n">
        <v>46262</v>
      </c>
      <c r="F403" t="inlineStr">
        <is>
          <t>HALLANDS LÄN</t>
        </is>
      </c>
      <c r="G403" t="inlineStr">
        <is>
          <t>FALKENBERG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44963</v>
      </c>
      <c r="E404" s="1" t="n">
        <v>46262</v>
      </c>
      <c r="F404" t="inlineStr">
        <is>
          <t>HALLANDS LÄN</t>
        </is>
      </c>
      <c r="G404" t="inlineStr">
        <is>
          <t>FALKENBERG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46262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46262</v>
      </c>
      <c r="F406" t="inlineStr">
        <is>
          <t>HALLANDS LÄN</t>
        </is>
      </c>
      <c r="G406" t="inlineStr">
        <is>
          <t>FALKENBERG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46262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54659-2024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45618</v>
      </c>
      <c r="E408" s="1" t="n">
        <v>46262</v>
      </c>
      <c r="F408" t="inlineStr">
        <is>
          <t>HALLANDS LÄN</t>
        </is>
      </c>
      <c r="G408" t="inlineStr">
        <is>
          <t>FALKENBERG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13774-2026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46262</v>
      </c>
      <c r="F409" t="inlineStr">
        <is>
          <t>HALLANDS LÄN</t>
        </is>
      </c>
      <c r="G409" t="inlineStr">
        <is>
          <t>FALKENBERG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46262</v>
      </c>
      <c r="F410" t="inlineStr">
        <is>
          <t>HALLANDS LÄN</t>
        </is>
      </c>
      <c r="G410" t="inlineStr">
        <is>
          <t>FALKENBERG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46262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46262</v>
      </c>
      <c r="F412" t="inlineStr">
        <is>
          <t>HALLANDS LÄN</t>
        </is>
      </c>
      <c r="G412" t="inlineStr">
        <is>
          <t>FALKENBERG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45377</v>
      </c>
      <c r="E413" s="1" t="n">
        <v>46262</v>
      </c>
      <c r="F413" t="inlineStr">
        <is>
          <t>HALLANDS LÄN</t>
        </is>
      </c>
      <c r="G413" t="inlineStr">
        <is>
          <t>FALKENBERG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45580</v>
      </c>
      <c r="E414" s="1" t="n">
        <v>46262</v>
      </c>
      <c r="F414" t="inlineStr">
        <is>
          <t>HALLANDS LÄN</t>
        </is>
      </c>
      <c r="G414" t="inlineStr">
        <is>
          <t>FALKENBERG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46262</v>
      </c>
      <c r="F415" t="inlineStr">
        <is>
          <t>HALLANDS LÄN</t>
        </is>
      </c>
      <c r="G415" t="inlineStr">
        <is>
          <t>FALKENBERG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45539</v>
      </c>
      <c r="E416" s="1" t="n">
        <v>46262</v>
      </c>
      <c r="F416" t="inlineStr">
        <is>
          <t>HALLANDS LÄN</t>
        </is>
      </c>
      <c r="G416" t="inlineStr">
        <is>
          <t>FALKENBERG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46262</v>
      </c>
      <c r="F417" t="inlineStr">
        <is>
          <t>HALLANDS LÄN</t>
        </is>
      </c>
      <c r="G417" t="inlineStr">
        <is>
          <t>FALKENBERG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46262</v>
      </c>
      <c r="F418" t="inlineStr">
        <is>
          <t>HALLANDS LÄN</t>
        </is>
      </c>
      <c r="G418" t="inlineStr">
        <is>
          <t>FALKENBERG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46262</v>
      </c>
      <c r="F419" t="inlineStr">
        <is>
          <t>HALLANDS LÄN</t>
        </is>
      </c>
      <c r="G419" t="inlineStr">
        <is>
          <t>FALKENBERG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71844-2021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44543</v>
      </c>
      <c r="E420" s="1" t="n">
        <v>46262</v>
      </c>
      <c r="F420" t="inlineStr">
        <is>
          <t>HALLANDS LÄN</t>
        </is>
      </c>
      <c r="G420" t="inlineStr">
        <is>
          <t>FALKENBERG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45084</v>
      </c>
      <c r="E421" s="1" t="n">
        <v>46262</v>
      </c>
      <c r="F421" t="inlineStr">
        <is>
          <t>HALLANDS LÄN</t>
        </is>
      </c>
      <c r="G421" t="inlineStr">
        <is>
          <t>FALKENBERG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45547</v>
      </c>
      <c r="E422" s="1" t="n">
        <v>46262</v>
      </c>
      <c r="F422" t="inlineStr">
        <is>
          <t>HALLANDS LÄN</t>
        </is>
      </c>
      <c r="G422" t="inlineStr">
        <is>
          <t>FALKENBERG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45414</v>
      </c>
      <c r="E423" s="1" t="n">
        <v>46262</v>
      </c>
      <c r="F423" t="inlineStr">
        <is>
          <t>HALLANDS LÄN</t>
        </is>
      </c>
      <c r="G423" t="inlineStr">
        <is>
          <t>FALKENBERG</t>
        </is>
      </c>
      <c r="H423" t="inlineStr">
        <is>
          <t>Kyrkan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17484-2026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46120</v>
      </c>
      <c r="E424" s="1" t="n">
        <v>46262</v>
      </c>
      <c r="F424" t="inlineStr">
        <is>
          <t>HALLANDS LÄN</t>
        </is>
      </c>
      <c r="G424" t="inlineStr">
        <is>
          <t>FALKENBERG</t>
        </is>
      </c>
      <c r="H424" t="inlineStr">
        <is>
          <t>Övriga Aktiebolag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45037</v>
      </c>
      <c r="E425" s="1" t="n">
        <v>46262</v>
      </c>
      <c r="F425" t="inlineStr">
        <is>
          <t>HALLANDS LÄN</t>
        </is>
      </c>
      <c r="G425" t="inlineStr">
        <is>
          <t>FALKENBERG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46262</v>
      </c>
      <c r="F426" t="inlineStr">
        <is>
          <t>HALLANDS LÄN</t>
        </is>
      </c>
      <c r="G426" t="inlineStr">
        <is>
          <t>FALKENBERG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44622</v>
      </c>
      <c r="E427" s="1" t="n">
        <v>46262</v>
      </c>
      <c r="F427" t="inlineStr">
        <is>
          <t>HALLANDS LÄN</t>
        </is>
      </c>
      <c r="G427" t="inlineStr">
        <is>
          <t>FALKENBERG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7877-2024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45350</v>
      </c>
      <c r="E428" s="1" t="n">
        <v>46262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46262</v>
      </c>
      <c r="F429" t="inlineStr">
        <is>
          <t>HALLANDS LÄN</t>
        </is>
      </c>
      <c r="G429" t="inlineStr">
        <is>
          <t>FALKENBERG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73973-2021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44554</v>
      </c>
      <c r="E430" s="1" t="n">
        <v>46262</v>
      </c>
      <c r="F430" t="inlineStr">
        <is>
          <t>HALLANDS LÄN</t>
        </is>
      </c>
      <c r="G430" t="inlineStr">
        <is>
          <t>FALKENBERG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54125-2024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46262</v>
      </c>
      <c r="F431" t="inlineStr">
        <is>
          <t>HALLANDS LÄN</t>
        </is>
      </c>
      <c r="G431" t="inlineStr">
        <is>
          <t>FALKENBERG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20349-2024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45435</v>
      </c>
      <c r="E432" s="1" t="n">
        <v>46262</v>
      </c>
      <c r="F432" t="inlineStr">
        <is>
          <t>HALLANDS LÄN</t>
        </is>
      </c>
      <c r="G432" t="inlineStr">
        <is>
          <t>FALKENBERG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46262</v>
      </c>
      <c r="F433" t="inlineStr">
        <is>
          <t>HALLANDS LÄN</t>
        </is>
      </c>
      <c r="G433" t="inlineStr">
        <is>
          <t>FALKENBERG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46262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54698-2024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45618</v>
      </c>
      <c r="E435" s="1" t="n">
        <v>46262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45300</v>
      </c>
      <c r="E436" s="1" t="n">
        <v>46262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45456</v>
      </c>
      <c r="E437" s="1" t="n">
        <v>46262</v>
      </c>
      <c r="F437" t="inlineStr">
        <is>
          <t>HALLANDS LÄN</t>
        </is>
      </c>
      <c r="G437" t="inlineStr">
        <is>
          <t>FALKENBERG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45188</v>
      </c>
      <c r="E438" s="1" t="n">
        <v>46262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46262</v>
      </c>
      <c r="F439" t="inlineStr">
        <is>
          <t>HALLANDS LÄN</t>
        </is>
      </c>
      <c r="G439" t="inlineStr">
        <is>
          <t>FALKENBERG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45705</v>
      </c>
      <c r="E440" s="1" t="n">
        <v>46262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57660-2022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44897</v>
      </c>
      <c r="E441" s="1" t="n">
        <v>46262</v>
      </c>
      <c r="F441" t="inlineStr">
        <is>
          <t>HALLANDS LÄN</t>
        </is>
      </c>
      <c r="G441" t="inlineStr">
        <is>
          <t>FALKENBERG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45266</v>
      </c>
      <c r="E442" s="1" t="n">
        <v>46262</v>
      </c>
      <c r="F442" t="inlineStr">
        <is>
          <t>HALLANDS LÄN</t>
        </is>
      </c>
      <c r="G442" t="inlineStr">
        <is>
          <t>FALKENBERG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45323</v>
      </c>
      <c r="E443" s="1" t="n">
        <v>46262</v>
      </c>
      <c r="F443" t="inlineStr">
        <is>
          <t>HALLANDS LÄN</t>
        </is>
      </c>
      <c r="G443" t="inlineStr">
        <is>
          <t>FALKENBERG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44610</v>
      </c>
      <c r="E444" s="1" t="n">
        <v>46262</v>
      </c>
      <c r="F444" t="inlineStr">
        <is>
          <t>HALLANDS LÄN</t>
        </is>
      </c>
      <c r="G444" t="inlineStr">
        <is>
          <t>FALKENBERG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41891-2024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46262</v>
      </c>
      <c r="F445" t="inlineStr">
        <is>
          <t>HALLANDS LÄN</t>
        </is>
      </c>
      <c r="G445" t="inlineStr">
        <is>
          <t>FALKENBERG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30603-2025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46262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45709</v>
      </c>
      <c r="E447" s="1" t="n">
        <v>46262</v>
      </c>
      <c r="F447" t="inlineStr">
        <is>
          <t>HALLANDS LÄN</t>
        </is>
      </c>
      <c r="G447" t="inlineStr">
        <is>
          <t>FALKENBERG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44740</v>
      </c>
      <c r="E448" s="1" t="n">
        <v>46262</v>
      </c>
      <c r="F448" t="inlineStr">
        <is>
          <t>HALLANDS LÄN</t>
        </is>
      </c>
      <c r="G448" t="inlineStr">
        <is>
          <t>FALKENBERG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45856</v>
      </c>
      <c r="E449" s="1" t="n">
        <v>46262</v>
      </c>
      <c r="F449" t="inlineStr">
        <is>
          <t>HALLANDS LÄN</t>
        </is>
      </c>
      <c r="G449" t="inlineStr">
        <is>
          <t>FALKENBERG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46262</v>
      </c>
      <c r="F450" t="inlineStr">
        <is>
          <t>HALLANDS LÄN</t>
        </is>
      </c>
      <c r="G450" t="inlineStr">
        <is>
          <t>FALKENBERG</t>
        </is>
      </c>
      <c r="H450" t="inlineStr">
        <is>
          <t>Kommuner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19118-2023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45048</v>
      </c>
      <c r="E451" s="1" t="n">
        <v>46262</v>
      </c>
      <c r="F451" t="inlineStr">
        <is>
          <t>HALLANDS LÄN</t>
        </is>
      </c>
      <c r="G451" t="inlineStr">
        <is>
          <t>FALKENBERG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42658-2024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46262</v>
      </c>
      <c r="F452" t="inlineStr">
        <is>
          <t>HALLANDS LÄN</t>
        </is>
      </c>
      <c r="G452" t="inlineStr">
        <is>
          <t>FALKENBERG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46262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42799-2024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46262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46262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46262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44827</v>
      </c>
      <c r="E457" s="1" t="n">
        <v>46262</v>
      </c>
      <c r="F457" t="inlineStr">
        <is>
          <t>HALLANDS LÄN</t>
        </is>
      </c>
      <c r="G457" t="inlineStr">
        <is>
          <t>FALKENBERG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46262</v>
      </c>
      <c r="F458" t="inlineStr">
        <is>
          <t>HALLANDS LÄN</t>
        </is>
      </c>
      <c r="G458" t="inlineStr">
        <is>
          <t>FALKENBERG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46262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42319-2022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44831</v>
      </c>
      <c r="E460" s="1" t="n">
        <v>46262</v>
      </c>
      <c r="F460" t="inlineStr">
        <is>
          <t>HALLANDS LÄN</t>
        </is>
      </c>
      <c r="G460" t="inlineStr">
        <is>
          <t>FALKENBERG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45138</v>
      </c>
      <c r="E461" s="1" t="n">
        <v>46262</v>
      </c>
      <c r="F461" t="inlineStr">
        <is>
          <t>HALLANDS LÄN</t>
        </is>
      </c>
      <c r="G461" t="inlineStr">
        <is>
          <t>FALKENBERG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45326</v>
      </c>
      <c r="E462" s="1" t="n">
        <v>46262</v>
      </c>
      <c r="F462" t="inlineStr">
        <is>
          <t>HALLANDS LÄN</t>
        </is>
      </c>
      <c r="G462" t="inlineStr">
        <is>
          <t>FALKENBERG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45681</v>
      </c>
      <c r="E463" s="1" t="n">
        <v>46262</v>
      </c>
      <c r="F463" t="inlineStr">
        <is>
          <t>HALLANDS LÄN</t>
        </is>
      </c>
      <c r="G463" t="inlineStr">
        <is>
          <t>FALKENBERG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46262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70848-2021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44538</v>
      </c>
      <c r="E465" s="1" t="n">
        <v>46262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46262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45667</v>
      </c>
      <c r="E467" s="1" t="n">
        <v>46262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46262</v>
      </c>
      <c r="F468" t="inlineStr">
        <is>
          <t>HALLANDS LÄN</t>
        </is>
      </c>
      <c r="G468" t="inlineStr">
        <is>
          <t>FALKENBERG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44652</v>
      </c>
      <c r="E469" s="1" t="n">
        <v>46262</v>
      </c>
      <c r="F469" t="inlineStr">
        <is>
          <t>HALLANDS LÄN</t>
        </is>
      </c>
      <c r="G469" t="inlineStr">
        <is>
          <t>FALKENBERG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46262</v>
      </c>
      <c r="F470" t="inlineStr">
        <is>
          <t>HALLANDS LÄN</t>
        </is>
      </c>
      <c r="G470" t="inlineStr">
        <is>
          <t>FALKENBERG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46262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67454-2021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44524</v>
      </c>
      <c r="E472" s="1" t="n">
        <v>46262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45678</v>
      </c>
      <c r="E473" s="1" t="n">
        <v>46262</v>
      </c>
      <c r="F473" t="inlineStr">
        <is>
          <t>HALLANDS LÄN</t>
        </is>
      </c>
      <c r="G473" t="inlineStr">
        <is>
          <t>FALKENBERG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46262</v>
      </c>
      <c r="F474" t="inlineStr">
        <is>
          <t>HALLANDS LÄN</t>
        </is>
      </c>
      <c r="G474" t="inlineStr">
        <is>
          <t>FALKENBERG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45390</v>
      </c>
      <c r="E475" s="1" t="n">
        <v>46262</v>
      </c>
      <c r="F475" t="inlineStr">
        <is>
          <t>HALLANDS LÄN</t>
        </is>
      </c>
      <c r="G475" t="inlineStr">
        <is>
          <t>FALKENBERG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45601</v>
      </c>
      <c r="E476" s="1" t="n">
        <v>46262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45811</v>
      </c>
      <c r="E477" s="1" t="n">
        <v>46262</v>
      </c>
      <c r="F477" t="inlineStr">
        <is>
          <t>HALLANDS LÄN</t>
        </is>
      </c>
      <c r="G477" t="inlineStr">
        <is>
          <t>FALKENBERG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10244-2023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44986</v>
      </c>
      <c r="E478" s="1" t="n">
        <v>46262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9270-2025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46262</v>
      </c>
      <c r="F479" t="inlineStr">
        <is>
          <t>HALLANDS LÄN</t>
        </is>
      </c>
      <c r="G479" t="inlineStr">
        <is>
          <t>FALKENBERG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45391</v>
      </c>
      <c r="E480" s="1" t="n">
        <v>46262</v>
      </c>
      <c r="F480" t="inlineStr">
        <is>
          <t>HALLANDS LÄN</t>
        </is>
      </c>
      <c r="G480" t="inlineStr">
        <is>
          <t>FALKENBERG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46262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45068</v>
      </c>
      <c r="E482" s="1" t="n">
        <v>46262</v>
      </c>
      <c r="F482" t="inlineStr">
        <is>
          <t>HALLANDS LÄN</t>
        </is>
      </c>
      <c r="G482" t="inlineStr">
        <is>
          <t>FALKENBERG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46262</v>
      </c>
      <c r="F483" t="inlineStr">
        <is>
          <t>HALLANDS LÄN</t>
        </is>
      </c>
      <c r="G483" t="inlineStr">
        <is>
          <t>FALKENBERG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46262</v>
      </c>
      <c r="F484" t="inlineStr">
        <is>
          <t>HALLANDS LÄN</t>
        </is>
      </c>
      <c r="G484" t="inlineStr">
        <is>
          <t>FALKENBERG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21008-2026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46142</v>
      </c>
      <c r="E485" s="1" t="n">
        <v>46262</v>
      </c>
      <c r="F485" t="inlineStr">
        <is>
          <t>HALLANDS LÄN</t>
        </is>
      </c>
      <c r="G485" t="inlineStr">
        <is>
          <t>FALKENBERG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45349</v>
      </c>
      <c r="E486" s="1" t="n">
        <v>46262</v>
      </c>
      <c r="F486" t="inlineStr">
        <is>
          <t>HALLANDS LÄN</t>
        </is>
      </c>
      <c r="G486" t="inlineStr">
        <is>
          <t>FALKENBERG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46262</v>
      </c>
      <c r="F487" t="inlineStr">
        <is>
          <t>HALLANDS LÄN</t>
        </is>
      </c>
      <c r="G487" t="inlineStr">
        <is>
          <t>FALKENBERG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56260-2024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46262</v>
      </c>
      <c r="F488" t="inlineStr">
        <is>
          <t>HALLANDS LÄN</t>
        </is>
      </c>
      <c r="G488" t="inlineStr">
        <is>
          <t>FALKENBERG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46262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20543-2023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45055</v>
      </c>
      <c r="E490" s="1" t="n">
        <v>46262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20546-2023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45055</v>
      </c>
      <c r="E491" s="1" t="n">
        <v>46262</v>
      </c>
      <c r="F491" t="inlineStr">
        <is>
          <t>HALLANDS LÄN</t>
        </is>
      </c>
      <c r="G491" t="inlineStr">
        <is>
          <t>FALKENBERG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14753-2022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44656</v>
      </c>
      <c r="E492" s="1" t="n">
        <v>46262</v>
      </c>
      <c r="F492" t="inlineStr">
        <is>
          <t>HALLANDS LÄN</t>
        </is>
      </c>
      <c r="G492" t="inlineStr">
        <is>
          <t>FALKENBERG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46262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63310-2023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45274</v>
      </c>
      <c r="E494" s="1" t="n">
        <v>46262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45914-2022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44846</v>
      </c>
      <c r="E495" s="1" t="n">
        <v>46262</v>
      </c>
      <c r="F495" t="inlineStr">
        <is>
          <t>HALLANDS LÄN</t>
        </is>
      </c>
      <c r="G495" t="inlineStr">
        <is>
          <t>FALKENBERG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46262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45345</v>
      </c>
      <c r="E497" s="1" t="n">
        <v>46262</v>
      </c>
      <c r="F497" t="inlineStr">
        <is>
          <t>HALLANDS LÄN</t>
        </is>
      </c>
      <c r="G497" t="inlineStr">
        <is>
          <t>FALKENBERG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53478-2025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45959</v>
      </c>
      <c r="E498" s="1" t="n">
        <v>46262</v>
      </c>
      <c r="F498" t="inlineStr">
        <is>
          <t>HALLANDS LÄN</t>
        </is>
      </c>
      <c r="G498" t="inlineStr">
        <is>
          <t>FALKENBERG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53411-2025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45959</v>
      </c>
      <c r="E499" s="1" t="n">
        <v>46262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32003-2023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45119</v>
      </c>
      <c r="E500" s="1" t="n">
        <v>46262</v>
      </c>
      <c r="F500" t="inlineStr">
        <is>
          <t>HALLANDS LÄN</t>
        </is>
      </c>
      <c r="G500" t="inlineStr">
        <is>
          <t>FALKENBERG</t>
        </is>
      </c>
      <c r="I500" t="n">
        <v>10.8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58533-2024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45635</v>
      </c>
      <c r="E501" s="1" t="n">
        <v>46262</v>
      </c>
      <c r="F501" t="inlineStr">
        <is>
          <t>HALLANDS LÄN</t>
        </is>
      </c>
      <c r="G501" t="inlineStr">
        <is>
          <t>FALKENBERG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45266</v>
      </c>
      <c r="E502" s="1" t="n">
        <v>46262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48200-2025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45933</v>
      </c>
      <c r="E503" s="1" t="n">
        <v>46262</v>
      </c>
      <c r="F503" t="inlineStr">
        <is>
          <t>HALLANDS LÄN</t>
        </is>
      </c>
      <c r="G503" t="inlineStr">
        <is>
          <t>FALKENBERG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61546-2022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44916</v>
      </c>
      <c r="E504" s="1" t="n">
        <v>46262</v>
      </c>
      <c r="F504" t="inlineStr">
        <is>
          <t>HALLANDS LÄN</t>
        </is>
      </c>
      <c r="G504" t="inlineStr">
        <is>
          <t>FALKENBERG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29142-2024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46262</v>
      </c>
      <c r="F505" t="inlineStr">
        <is>
          <t>HALLANDS LÄN</t>
        </is>
      </c>
      <c r="G505" t="inlineStr">
        <is>
          <t>FALKENBERG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46262</v>
      </c>
      <c r="F506" t="inlineStr">
        <is>
          <t>HALLANDS LÄN</t>
        </is>
      </c>
      <c r="G506" t="inlineStr">
        <is>
          <t>FALKENBERG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44946</v>
      </c>
      <c r="E507" s="1" t="n">
        <v>46262</v>
      </c>
      <c r="F507" t="inlineStr">
        <is>
          <t>HALLANDS LÄN</t>
        </is>
      </c>
      <c r="G507" t="inlineStr">
        <is>
          <t>FALKENBERG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45058</v>
      </c>
      <c r="E508" s="1" t="n">
        <v>46262</v>
      </c>
      <c r="F508" t="inlineStr">
        <is>
          <t>HALLANDS LÄN</t>
        </is>
      </c>
      <c r="G508" t="inlineStr">
        <is>
          <t>FALKENBERG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46262</v>
      </c>
      <c r="F509" t="inlineStr">
        <is>
          <t>HALLANDS LÄN</t>
        </is>
      </c>
      <c r="G509" t="inlineStr">
        <is>
          <t>FALKENBERG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72470-2021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44545</v>
      </c>
      <c r="E510" s="1" t="n">
        <v>46262</v>
      </c>
      <c r="F510" t="inlineStr">
        <is>
          <t>HALLANDS LÄN</t>
        </is>
      </c>
      <c r="G510" t="inlineStr">
        <is>
          <t>FALKENBERG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23394-2026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46162</v>
      </c>
      <c r="E511" s="1" t="n">
        <v>46262</v>
      </c>
      <c r="F511" t="inlineStr">
        <is>
          <t>HALLANDS LÄN</t>
        </is>
      </c>
      <c r="G511" t="inlineStr">
        <is>
          <t>FALKENBERG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23695-2026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46164</v>
      </c>
      <c r="E512" s="1" t="n">
        <v>46262</v>
      </c>
      <c r="F512" t="inlineStr">
        <is>
          <t>HALLANDS LÄN</t>
        </is>
      </c>
      <c r="G512" t="inlineStr">
        <is>
          <t>FALKENBERG</t>
        </is>
      </c>
      <c r="I512" t="n">
        <v>8.199999999999999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46262</v>
      </c>
      <c r="F513" t="inlineStr">
        <is>
          <t>HALLANDS LÄN</t>
        </is>
      </c>
      <c r="G513" t="inlineStr">
        <is>
          <t>FALKENBERG</t>
        </is>
      </c>
      <c r="H513" t="inlineStr">
        <is>
          <t>Kyrkan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46262</v>
      </c>
      <c r="F514" t="inlineStr">
        <is>
          <t>HALLANDS LÄN</t>
        </is>
      </c>
      <c r="G514" t="inlineStr">
        <is>
          <t>FALKENBERG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45384</v>
      </c>
      <c r="E515" s="1" t="n">
        <v>46262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23705-2026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46164</v>
      </c>
      <c r="E516" s="1" t="n">
        <v>46262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46262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44938</v>
      </c>
      <c r="E518" s="1" t="n">
        <v>46262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46166</v>
      </c>
      <c r="E519" s="1" t="n">
        <v>46262</v>
      </c>
      <c r="F519" t="inlineStr">
        <is>
          <t>HALLANDS LÄN</t>
        </is>
      </c>
      <c r="G519" t="inlineStr">
        <is>
          <t>FALKENBERG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46262</v>
      </c>
      <c r="F520" t="inlineStr">
        <is>
          <t>HALLANDS LÄN</t>
        </is>
      </c>
      <c r="G520" t="inlineStr">
        <is>
          <t>FALKENBERG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43897-2023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45187</v>
      </c>
      <c r="E521" s="1" t="n">
        <v>46262</v>
      </c>
      <c r="F521" t="inlineStr">
        <is>
          <t>HALLANDS LÄN</t>
        </is>
      </c>
      <c r="G521" t="inlineStr">
        <is>
          <t>FALKENBERG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33490-2023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45131</v>
      </c>
      <c r="E522" s="1" t="n">
        <v>46262</v>
      </c>
      <c r="F522" t="inlineStr">
        <is>
          <t>HALLANDS LÄN</t>
        </is>
      </c>
      <c r="G522" t="inlineStr">
        <is>
          <t>FALKENBERG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46262</v>
      </c>
      <c r="F523" t="inlineStr">
        <is>
          <t>HALLANDS LÄN</t>
        </is>
      </c>
      <c r="G523" t="inlineStr">
        <is>
          <t>FALKENBERG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44574</v>
      </c>
      <c r="E524" s="1" t="n">
        <v>46262</v>
      </c>
      <c r="F524" t="inlineStr">
        <is>
          <t>HALLANDS LÄN</t>
        </is>
      </c>
      <c r="G524" t="inlineStr">
        <is>
          <t>FALKENBERG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36980-2022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44806</v>
      </c>
      <c r="E525" s="1" t="n">
        <v>46262</v>
      </c>
      <c r="F525" t="inlineStr">
        <is>
          <t>HALLANDS LÄN</t>
        </is>
      </c>
      <c r="G525" t="inlineStr">
        <is>
          <t>FALKENBERG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49609-2023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46262</v>
      </c>
      <c r="F526" t="inlineStr">
        <is>
          <t>HALLANDS LÄN</t>
        </is>
      </c>
      <c r="G526" t="inlineStr">
        <is>
          <t>FALKENBERG</t>
        </is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45923</v>
      </c>
      <c r="E527" s="1" t="n">
        <v>46262</v>
      </c>
      <c r="F527" t="inlineStr">
        <is>
          <t>HALLANDS LÄN</t>
        </is>
      </c>
      <c r="G527" t="inlineStr">
        <is>
          <t>FALKENBERG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46262</v>
      </c>
      <c r="F528" t="inlineStr">
        <is>
          <t>HALLANDS LÄN</t>
        </is>
      </c>
      <c r="G528" t="inlineStr">
        <is>
          <t>FALKENBERG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45554</v>
      </c>
      <c r="E529" s="1" t="n">
        <v>46262</v>
      </c>
      <c r="F529" t="inlineStr">
        <is>
          <t>HALLANDS LÄN</t>
        </is>
      </c>
      <c r="G529" t="inlineStr">
        <is>
          <t>FALKENBERG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46262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45377</v>
      </c>
      <c r="E531" s="1" t="n">
        <v>46262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46262</v>
      </c>
      <c r="F532" t="inlineStr">
        <is>
          <t>HALLANDS LÄN</t>
        </is>
      </c>
      <c r="G532" t="inlineStr">
        <is>
          <t>FALKENBERG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55876-2023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45239</v>
      </c>
      <c r="E533" s="1" t="n">
        <v>46262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51398-2023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45219</v>
      </c>
      <c r="E534" s="1" t="n">
        <v>46262</v>
      </c>
      <c r="F534" t="inlineStr">
        <is>
          <t>HALLANDS LÄN</t>
        </is>
      </c>
      <c r="G534" t="inlineStr">
        <is>
          <t>FALKENBERG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45762</v>
      </c>
      <c r="E535" s="1" t="n">
        <v>46262</v>
      </c>
      <c r="F535" t="inlineStr">
        <is>
          <t>HALLANDS LÄN</t>
        </is>
      </c>
      <c r="G535" t="inlineStr">
        <is>
          <t>FALKENBERG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46262</v>
      </c>
      <c r="F536" t="inlineStr">
        <is>
          <t>HALLANDS LÄN</t>
        </is>
      </c>
      <c r="G536" t="inlineStr">
        <is>
          <t>FALKENBERG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46262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46172</v>
      </c>
      <c r="E538" s="1" t="n">
        <v>46262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44806</v>
      </c>
      <c r="E539" s="1" t="n">
        <v>46262</v>
      </c>
      <c r="F539" t="inlineStr">
        <is>
          <t>HALLANDS LÄN</t>
        </is>
      </c>
      <c r="G539" t="inlineStr">
        <is>
          <t>FALKENBERG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49760-2023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46262</v>
      </c>
      <c r="F540" t="inlineStr">
        <is>
          <t>HALLANDS LÄN</t>
        </is>
      </c>
      <c r="G540" t="inlineStr">
        <is>
          <t>FALKENBERG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46262</v>
      </c>
      <c r="F541" t="inlineStr">
        <is>
          <t>HALLANDS LÄN</t>
        </is>
      </c>
      <c r="G541" t="inlineStr">
        <is>
          <t>FALKENBERG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46262</v>
      </c>
      <c r="F542" t="inlineStr">
        <is>
          <t>HALLANDS LÄN</t>
        </is>
      </c>
      <c r="G542" t="inlineStr">
        <is>
          <t>FALKENBERG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41238-2023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46262</v>
      </c>
      <c r="F543" t="inlineStr">
        <is>
          <t>HALLANDS LÄN</t>
        </is>
      </c>
      <c r="G543" t="inlineStr">
        <is>
          <t>FALKENBERG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45351</v>
      </c>
      <c r="E544" s="1" t="n">
        <v>46262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53069-2021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44467</v>
      </c>
      <c r="E545" s="1" t="n">
        <v>46262</v>
      </c>
      <c r="F545" t="inlineStr">
        <is>
          <t>HALLANDS LÄN</t>
        </is>
      </c>
      <c r="G545" t="inlineStr">
        <is>
          <t>FALKENBERG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46262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45273</v>
      </c>
      <c r="E547" s="1" t="n">
        <v>46262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46262</v>
      </c>
      <c r="F548" t="inlineStr">
        <is>
          <t>HALLANDS LÄN</t>
        </is>
      </c>
      <c r="G548" t="inlineStr">
        <is>
          <t>FALKENBERG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6703-2022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44602</v>
      </c>
      <c r="E549" s="1" t="n">
        <v>46262</v>
      </c>
      <c r="F549" t="inlineStr">
        <is>
          <t>HALLANDS LÄN</t>
        </is>
      </c>
      <c r="G549" t="inlineStr">
        <is>
          <t>FALKENBERG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46262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46262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45627</v>
      </c>
      <c r="E552" s="1" t="n">
        <v>46262</v>
      </c>
      <c r="F552" t="inlineStr">
        <is>
          <t>HALLANDS LÄN</t>
        </is>
      </c>
      <c r="G552" t="inlineStr">
        <is>
          <t>FALKENBERG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46262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46262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45181</v>
      </c>
      <c r="E555" s="1" t="n">
        <v>46262</v>
      </c>
      <c r="F555" t="inlineStr">
        <is>
          <t>HALLANDS LÄN</t>
        </is>
      </c>
      <c r="G555" t="inlineStr">
        <is>
          <t>FALKENBERG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46262</v>
      </c>
      <c r="F556" t="inlineStr">
        <is>
          <t>HALLANDS LÄN</t>
        </is>
      </c>
      <c r="G556" t="inlineStr">
        <is>
          <t>FALKENBERG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46262</v>
      </c>
      <c r="F557" t="inlineStr">
        <is>
          <t>HALLANDS LÄN</t>
        </is>
      </c>
      <c r="G557" t="inlineStr">
        <is>
          <t>FALKENBERG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45118</v>
      </c>
      <c r="E558" s="1" t="n">
        <v>46262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45247</v>
      </c>
      <c r="E559" s="1" t="n">
        <v>46262</v>
      </c>
      <c r="F559" t="inlineStr">
        <is>
          <t>HALLANDS LÄN</t>
        </is>
      </c>
      <c r="G559" t="inlineStr">
        <is>
          <t>FALKENBERG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46262</v>
      </c>
      <c r="F560" t="inlineStr">
        <is>
          <t>HALLANDS LÄN</t>
        </is>
      </c>
      <c r="G560" t="inlineStr">
        <is>
          <t>FALKENBERG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50647-2024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45601</v>
      </c>
      <c r="E561" s="1" t="n">
        <v>46262</v>
      </c>
      <c r="F561" t="inlineStr">
        <is>
          <t>HALLANDS LÄN</t>
        </is>
      </c>
      <c r="G561" t="inlineStr">
        <is>
          <t>FALKENBERG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46262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45300</v>
      </c>
      <c r="E563" s="1" t="n">
        <v>46262</v>
      </c>
      <c r="F563" t="inlineStr">
        <is>
          <t>HALLANDS LÄN</t>
        </is>
      </c>
      <c r="G563" t="inlineStr">
        <is>
          <t>FALKENBERG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45245</v>
      </c>
      <c r="E564" s="1" t="n">
        <v>46262</v>
      </c>
      <c r="F564" t="inlineStr">
        <is>
          <t>HALLANDS LÄN</t>
        </is>
      </c>
      <c r="G564" t="inlineStr">
        <is>
          <t>FALKENBERG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46262</v>
      </c>
      <c r="F565" t="inlineStr">
        <is>
          <t>HALLANDS LÄN</t>
        </is>
      </c>
      <c r="G565" t="inlineStr">
        <is>
          <t>FALKENBERG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44785</v>
      </c>
      <c r="E566" s="1" t="n">
        <v>46262</v>
      </c>
      <c r="F566" t="inlineStr">
        <is>
          <t>HALLANDS LÄN</t>
        </is>
      </c>
      <c r="G566" t="inlineStr">
        <is>
          <t>FALKENBERG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45182</v>
      </c>
      <c r="E567" s="1" t="n">
        <v>46262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45702</v>
      </c>
      <c r="E568" s="1" t="n">
        <v>46262</v>
      </c>
      <c r="F568" t="inlineStr">
        <is>
          <t>HALLANDS LÄN</t>
        </is>
      </c>
      <c r="G568" t="inlineStr">
        <is>
          <t>FALKENBERG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59208-2023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46262</v>
      </c>
      <c r="F569" t="inlineStr">
        <is>
          <t>HALLANDS LÄN</t>
        </is>
      </c>
      <c r="G569" t="inlineStr">
        <is>
          <t>FALKENBERG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46262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46262</v>
      </c>
      <c r="F571" t="inlineStr">
        <is>
          <t>HALLANDS LÄN</t>
        </is>
      </c>
      <c r="G571" t="inlineStr">
        <is>
          <t>FALKENBERG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55878-2023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45239</v>
      </c>
      <c r="E572" s="1" t="n">
        <v>46262</v>
      </c>
      <c r="F572" t="inlineStr">
        <is>
          <t>HALLANDS LÄN</t>
        </is>
      </c>
      <c r="G572" t="inlineStr">
        <is>
          <t>FALKENBERG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63033-2023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45272</v>
      </c>
      <c r="E573" s="1" t="n">
        <v>46262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53939-2021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44469</v>
      </c>
      <c r="E574" s="1" t="n">
        <v>46262</v>
      </c>
      <c r="F574" t="inlineStr">
        <is>
          <t>HALLANDS LÄN</t>
        </is>
      </c>
      <c r="G574" t="inlineStr">
        <is>
          <t>FALKENBERG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16430-2023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45029</v>
      </c>
      <c r="E575" s="1" t="n">
        <v>46262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46262</v>
      </c>
      <c r="F576" t="inlineStr">
        <is>
          <t>HALLANDS LÄN</t>
        </is>
      </c>
      <c r="G576" t="inlineStr">
        <is>
          <t>FALKENBERG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45190</v>
      </c>
      <c r="E577" s="1" t="n">
        <v>46262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45369</v>
      </c>
      <c r="E578" s="1" t="n">
        <v>46262</v>
      </c>
      <c r="F578" t="inlineStr">
        <is>
          <t>HALLANDS LÄN</t>
        </is>
      </c>
      <c r="G578" t="inlineStr">
        <is>
          <t>FALKENBERG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46262</v>
      </c>
      <c r="F579" t="inlineStr">
        <is>
          <t>HALLANDS LÄN</t>
        </is>
      </c>
      <c r="G579" t="inlineStr">
        <is>
          <t>FALKENBERG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44966</v>
      </c>
      <c r="E580" s="1" t="n">
        <v>46262</v>
      </c>
      <c r="F580" t="inlineStr">
        <is>
          <t>HALLANDS LÄN</t>
        </is>
      </c>
      <c r="G580" t="inlineStr">
        <is>
          <t>FALKENBERG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46262</v>
      </c>
      <c r="F581" t="inlineStr">
        <is>
          <t>HALLANDS LÄN</t>
        </is>
      </c>
      <c r="G581" t="inlineStr">
        <is>
          <t>FALKENBERG</t>
        </is>
      </c>
      <c r="I581" t="n">
        <v>29.4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45597</v>
      </c>
      <c r="E582" s="1" t="n">
        <v>46262</v>
      </c>
      <c r="F582" t="inlineStr">
        <is>
          <t>HALLANDS LÄN</t>
        </is>
      </c>
      <c r="G582" t="inlineStr">
        <is>
          <t>FALKENBERG</t>
        </is>
      </c>
      <c r="H582" t="inlineStr">
        <is>
          <t>Kyrkan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46262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46262</v>
      </c>
      <c r="F584" t="inlineStr">
        <is>
          <t>HALLANDS LÄN</t>
        </is>
      </c>
      <c r="G584" t="inlineStr">
        <is>
          <t>FALKENBERG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46262</v>
      </c>
      <c r="F585" t="inlineStr">
        <is>
          <t>HALLANDS LÄN</t>
        </is>
      </c>
      <c r="G585" t="inlineStr">
        <is>
          <t>FALKENBERG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46262</v>
      </c>
      <c r="F586" t="inlineStr">
        <is>
          <t>HALLANDS LÄN</t>
        </is>
      </c>
      <c r="G586" t="inlineStr">
        <is>
          <t>FALKENBERG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45381</v>
      </c>
      <c r="E587" s="1" t="n">
        <v>46262</v>
      </c>
      <c r="F587" t="inlineStr">
        <is>
          <t>HALLANDS LÄN</t>
        </is>
      </c>
      <c r="G587" t="inlineStr">
        <is>
          <t>FALKENBERG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45127</v>
      </c>
      <c r="E588" s="1" t="n">
        <v>46262</v>
      </c>
      <c r="F588" t="inlineStr">
        <is>
          <t>HALLANDS LÄN</t>
        </is>
      </c>
      <c r="G588" t="inlineStr">
        <is>
          <t>FALKENBERG</t>
        </is>
      </c>
      <c r="H588" t="inlineStr">
        <is>
          <t>Kommuner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53400-2023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45229</v>
      </c>
      <c r="E589" s="1" t="n">
        <v>46262</v>
      </c>
      <c r="F589" t="inlineStr">
        <is>
          <t>HALLANDS LÄN</t>
        </is>
      </c>
      <c r="G589" t="inlineStr">
        <is>
          <t>FALKENBERG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64836-2023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45282</v>
      </c>
      <c r="E590" s="1" t="n">
        <v>46262</v>
      </c>
      <c r="F590" t="inlineStr">
        <is>
          <t>HALLANDS LÄN</t>
        </is>
      </c>
      <c r="G590" t="inlineStr">
        <is>
          <t>FALKENBERG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45142</v>
      </c>
      <c r="E591" s="1" t="n">
        <v>46262</v>
      </c>
      <c r="F591" t="inlineStr">
        <is>
          <t>HALLANDS LÄN</t>
        </is>
      </c>
      <c r="G591" t="inlineStr">
        <is>
          <t>FALKENBERG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45035</v>
      </c>
      <c r="E592" s="1" t="n">
        <v>46262</v>
      </c>
      <c r="F592" t="inlineStr">
        <is>
          <t>HALLANDS LÄN</t>
        </is>
      </c>
      <c r="G592" t="inlineStr">
        <is>
          <t>FALKENBERG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46262</v>
      </c>
      <c r="F593" t="inlineStr">
        <is>
          <t>HALLANDS LÄN</t>
        </is>
      </c>
      <c r="G593" t="inlineStr">
        <is>
          <t>FALKENBERG</t>
        </is>
      </c>
      <c r="I593" t="n">
        <v>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46202</v>
      </c>
      <c r="E594" s="1" t="n">
        <v>46262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32402-2023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45120</v>
      </c>
      <c r="E595" s="1" t="n">
        <v>46262</v>
      </c>
      <c r="F595" t="inlineStr">
        <is>
          <t>HALLANDS LÄN</t>
        </is>
      </c>
      <c r="G595" t="inlineStr">
        <is>
          <t>FALKENBERG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46202</v>
      </c>
      <c r="E596" s="1" t="n">
        <v>46262</v>
      </c>
      <c r="F596" t="inlineStr">
        <is>
          <t>HALLANDS LÄN</t>
        </is>
      </c>
      <c r="G596" t="inlineStr">
        <is>
          <t>FALKENBERG</t>
        </is>
      </c>
      <c r="H596" t="inlineStr">
        <is>
          <t>Bergvik skog väst AB</t>
        </is>
      </c>
      <c r="I596" t="n">
        <v>7.3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29228-2026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46262</v>
      </c>
      <c r="F597" t="inlineStr">
        <is>
          <t>HALLANDS LÄN</t>
        </is>
      </c>
      <c r="G597" t="inlineStr">
        <is>
          <t>FALKENBERG</t>
        </is>
      </c>
      <c r="H597" t="inlineStr">
        <is>
          <t>Bergvik skog väst AB</t>
        </is>
      </c>
      <c r="I597" t="n">
        <v>7.7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45664</v>
      </c>
      <c r="E598" s="1" t="n">
        <v>46262</v>
      </c>
      <c r="F598" t="inlineStr">
        <is>
          <t>HALLANDS LÄN</t>
        </is>
      </c>
      <c r="G598" t="inlineStr">
        <is>
          <t>FALKENBERG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44627</v>
      </c>
      <c r="E599" s="1" t="n">
        <v>46262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12939-2023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45001</v>
      </c>
      <c r="E600" s="1" t="n">
        <v>46262</v>
      </c>
      <c r="F600" t="inlineStr">
        <is>
          <t>HALLANDS LÄN</t>
        </is>
      </c>
      <c r="G600" t="inlineStr">
        <is>
          <t>FALKENBERG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46200</v>
      </c>
      <c r="E601" s="1" t="n">
        <v>46262</v>
      </c>
      <c r="F601" t="inlineStr">
        <is>
          <t>HALLANDS LÄN</t>
        </is>
      </c>
      <c r="G601" t="inlineStr">
        <is>
          <t>FALKENBERG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60245-2022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44910</v>
      </c>
      <c r="E602" s="1" t="n">
        <v>46262</v>
      </c>
      <c r="F602" t="inlineStr">
        <is>
          <t>HALLANDS LÄN</t>
        </is>
      </c>
      <c r="G602" t="inlineStr">
        <is>
          <t>FALKENBERG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44957</v>
      </c>
      <c r="E603" s="1" t="n">
        <v>46262</v>
      </c>
      <c r="F603" t="inlineStr">
        <is>
          <t>HALLANDS LÄN</t>
        </is>
      </c>
      <c r="G603" t="inlineStr">
        <is>
          <t>FALKENBERG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46262</v>
      </c>
      <c r="F604" t="inlineStr">
        <is>
          <t>HALLANDS LÄN</t>
        </is>
      </c>
      <c r="G604" t="inlineStr">
        <is>
          <t>FALKENBERG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46262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41610-2022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44827</v>
      </c>
      <c r="E606" s="1" t="n">
        <v>46262</v>
      </c>
      <c r="F606" t="inlineStr">
        <is>
          <t>HALLANDS LÄN</t>
        </is>
      </c>
      <c r="G606" t="inlineStr">
        <is>
          <t>FALKENBERG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20353-2024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45435</v>
      </c>
      <c r="E607" s="1" t="n">
        <v>46262</v>
      </c>
      <c r="F607" t="inlineStr">
        <is>
          <t>HALLANDS LÄN</t>
        </is>
      </c>
      <c r="G607" t="inlineStr">
        <is>
          <t>FALKENBERG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46262</v>
      </c>
      <c r="F608" t="inlineStr">
        <is>
          <t>HALLANDS LÄN</t>
        </is>
      </c>
      <c r="G608" t="inlineStr">
        <is>
          <t>FALKENBERG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46262</v>
      </c>
      <c r="F609" t="inlineStr">
        <is>
          <t>HALLANDS LÄN</t>
        </is>
      </c>
      <c r="G609" t="inlineStr">
        <is>
          <t>FALKENBERG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6783-2024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45342</v>
      </c>
      <c r="E610" s="1" t="n">
        <v>46262</v>
      </c>
      <c r="F610" t="inlineStr">
        <is>
          <t>HALLANDS LÄN</t>
        </is>
      </c>
      <c r="G610" t="inlineStr">
        <is>
          <t>FALKENBERG</t>
        </is>
      </c>
      <c r="H610" t="inlineStr">
        <is>
          <t>Kommuner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29346-2026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46262</v>
      </c>
      <c r="F611" t="inlineStr">
        <is>
          <t>HALLANDS LÄN</t>
        </is>
      </c>
      <c r="G611" t="inlineStr">
        <is>
          <t>FALKENBERG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46262</v>
      </c>
      <c r="F612" t="inlineStr">
        <is>
          <t>HALLANDS LÄN</t>
        </is>
      </c>
      <c r="G612" t="inlineStr">
        <is>
          <t>FALKENBERG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49126-2021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44453</v>
      </c>
      <c r="E613" s="1" t="n">
        <v>46262</v>
      </c>
      <c r="F613" t="inlineStr">
        <is>
          <t>HALLANDS LÄN</t>
        </is>
      </c>
      <c r="G613" t="inlineStr">
        <is>
          <t>FALKENBERG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46262</v>
      </c>
      <c r="F614" t="inlineStr">
        <is>
          <t>HALLANDS LÄN</t>
        </is>
      </c>
      <c r="G614" t="inlineStr">
        <is>
          <t>FALKENBERG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54700-2024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45618</v>
      </c>
      <c r="E615" s="1" t="n">
        <v>46262</v>
      </c>
      <c r="F615" t="inlineStr">
        <is>
          <t>HALLANDS LÄN</t>
        </is>
      </c>
      <c r="G615" t="inlineStr">
        <is>
          <t>FALKENBERG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19749-2022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44694</v>
      </c>
      <c r="E616" s="1" t="n">
        <v>46262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47698-2024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45588</v>
      </c>
      <c r="E617" s="1" t="n">
        <v>46262</v>
      </c>
      <c r="F617" t="inlineStr">
        <is>
          <t>HALLANDS LÄN</t>
        </is>
      </c>
      <c r="G617" t="inlineStr">
        <is>
          <t>FALKENBERG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45076</v>
      </c>
      <c r="E618" s="1" t="n">
        <v>46262</v>
      </c>
      <c r="F618" t="inlineStr">
        <is>
          <t>HALLANDS LÄN</t>
        </is>
      </c>
      <c r="G618" t="inlineStr">
        <is>
          <t>FALKENBERG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66135-2021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44517</v>
      </c>
      <c r="E619" s="1" t="n">
        <v>46262</v>
      </c>
      <c r="F619" t="inlineStr">
        <is>
          <t>HALLANDS LÄN</t>
        </is>
      </c>
      <c r="G619" t="inlineStr">
        <is>
          <t>FALKENBERG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47021-2022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44852</v>
      </c>
      <c r="E620" s="1" t="n">
        <v>46262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45131</v>
      </c>
      <c r="E621" s="1" t="n">
        <v>46262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8908-2024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45357</v>
      </c>
      <c r="E622" s="1" t="n">
        <v>46262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10748-2022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44627</v>
      </c>
      <c r="E623" s="1" t="n">
        <v>46262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8900-2024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45357</v>
      </c>
      <c r="E624" s="1" t="n">
        <v>46262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52783-2023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45226</v>
      </c>
      <c r="E625" s="1" t="n">
        <v>46262</v>
      </c>
      <c r="F625" t="inlineStr">
        <is>
          <t>HALLANDS LÄN</t>
        </is>
      </c>
      <c r="G625" t="inlineStr">
        <is>
          <t>FALKENBERG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44974</v>
      </c>
      <c r="E626" s="1" t="n">
        <v>46262</v>
      </c>
      <c r="F626" t="inlineStr">
        <is>
          <t>HALLANDS LÄN</t>
        </is>
      </c>
      <c r="G626" t="inlineStr">
        <is>
          <t>FALKENBERG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33576-2026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46262</v>
      </c>
      <c r="F627" t="inlineStr">
        <is>
          <t>HALLANDS LÄN</t>
        </is>
      </c>
      <c r="G627" t="inlineStr">
        <is>
          <t>FALKENBERG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44964</v>
      </c>
      <c r="E628" s="1" t="n">
        <v>46262</v>
      </c>
      <c r="F628" t="inlineStr">
        <is>
          <t>HALLANDS LÄN</t>
        </is>
      </c>
      <c r="G628" t="inlineStr">
        <is>
          <t>FALKENBERG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8516-2024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45355</v>
      </c>
      <c r="E629" s="1" t="n">
        <v>46262</v>
      </c>
      <c r="F629" t="inlineStr">
        <is>
          <t>HALLANDS LÄN</t>
        </is>
      </c>
      <c r="G629" t="inlineStr">
        <is>
          <t>FALKENBERG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31568-2023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45117</v>
      </c>
      <c r="E630" s="1" t="n">
        <v>46262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44946</v>
      </c>
      <c r="E631" s="1" t="n">
        <v>46262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21037-2024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45439</v>
      </c>
      <c r="E632" s="1" t="n">
        <v>46262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46262</v>
      </c>
      <c r="F633" t="inlineStr">
        <is>
          <t>HALLANDS LÄN</t>
        </is>
      </c>
      <c r="G633" t="inlineStr">
        <is>
          <t>FALKENBERG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45175</v>
      </c>
      <c r="E634" s="1" t="n">
        <v>46262</v>
      </c>
      <c r="F634" t="inlineStr">
        <is>
          <t>HALLANDS LÄN</t>
        </is>
      </c>
      <c r="G634" t="inlineStr">
        <is>
          <t>FALKENBERG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41242-2023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46262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46262</v>
      </c>
      <c r="F636" t="inlineStr">
        <is>
          <t>HALLANDS LÄN</t>
        </is>
      </c>
      <c r="G636" t="inlineStr">
        <is>
          <t>FALKENBERG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4609-2024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45328</v>
      </c>
      <c r="E637" s="1" t="n">
        <v>46262</v>
      </c>
      <c r="F637" t="inlineStr">
        <is>
          <t>HALLANDS LÄN</t>
        </is>
      </c>
      <c r="G637" t="inlineStr">
        <is>
          <t>FALKENBERG</t>
        </is>
      </c>
      <c r="H637" t="inlineStr">
        <is>
          <t>Kyrkan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46262</v>
      </c>
      <c r="F638" t="inlineStr">
        <is>
          <t>HALLANDS LÄN</t>
        </is>
      </c>
      <c r="G638" t="inlineStr">
        <is>
          <t>FALKENBERG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30790-2026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46212</v>
      </c>
      <c r="E639" s="1" t="n">
        <v>46262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46262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46262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22546-2023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46262</v>
      </c>
      <c r="F642" t="inlineStr">
        <is>
          <t>HALLANDS LÄN</t>
        </is>
      </c>
      <c r="G642" t="inlineStr">
        <is>
          <t>FALKENBERG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30715-2026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46211</v>
      </c>
      <c r="E643" s="1" t="n">
        <v>46262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20907-2025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45777</v>
      </c>
      <c r="E644" s="1" t="n">
        <v>46262</v>
      </c>
      <c r="F644" t="inlineStr">
        <is>
          <t>HALLANDS LÄN</t>
        </is>
      </c>
      <c r="G644" t="inlineStr">
        <is>
          <t>FALKENBERG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35015-2026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46259</v>
      </c>
      <c r="E645" s="1" t="n">
        <v>46262</v>
      </c>
      <c r="F645" t="inlineStr">
        <is>
          <t>HALLANDS LÄN</t>
        </is>
      </c>
      <c r="G645" t="inlineStr">
        <is>
          <t>FALKENBERG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46259</v>
      </c>
      <c r="E646" s="1" t="n">
        <v>46262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46262</v>
      </c>
      <c r="F647" t="inlineStr">
        <is>
          <t>HALLANDS LÄN</t>
        </is>
      </c>
      <c r="G647" t="inlineStr">
        <is>
          <t>FALKENBERG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46259</v>
      </c>
      <c r="E648" s="1" t="n">
        <v>46262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34621-2026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46255</v>
      </c>
      <c r="E649" s="1" t="n">
        <v>46262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31189-2026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46262</v>
      </c>
      <c r="F650" t="inlineStr">
        <is>
          <t>HALLANDS LÄN</t>
        </is>
      </c>
      <c r="G650" t="inlineStr">
        <is>
          <t>FALKENBERG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12300-2026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46262</v>
      </c>
      <c r="F651" t="inlineStr">
        <is>
          <t>HALLANDS LÄN</t>
        </is>
      </c>
      <c r="G651" t="inlineStr">
        <is>
          <t>FALKENBERG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46260</v>
      </c>
      <c r="E652" s="1" t="n">
        <v>46262</v>
      </c>
      <c r="F652" t="inlineStr">
        <is>
          <t>HALLANDS LÄN</t>
        </is>
      </c>
      <c r="G652" t="inlineStr">
        <is>
          <t>FALKENBERG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46262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46262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46262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46262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46262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46262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46262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46262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46262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46262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46262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46262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46262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46262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46262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46262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46262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46262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46262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46262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46262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46262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46262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46262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46262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46262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46262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46262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46262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46262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46262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46262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46262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46262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46262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46262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46262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46262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46262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46262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2026-08-28T01:53:30Z</dcterms:created>
  <dcterms:modified xmlns:dcterms="http://purl.org/dc/terms/" xmlns:xsi="http://www.w3.org/2001/XMLSchema-instance" xsi:type="dcterms:W3CDTF">2026-08-28T01:53:31Z</dcterms:modified>
</cp:coreProperties>
</file>