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46249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46249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46249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46249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46249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46249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t="n">
        <v>8</v>
      </c>
      <c r="V7" s="2" t="inlineStr">
        <is>
          <t>Ask
Skogsalm
Björksplintborre
Spillkråka
Gröngöling</t>
        </is>
      </c>
      <c r="W7">
        <f>HYPERLINK("https://klasma.github.io/Logging_1382/artfynd/S 1321-2022 artfynd.xlsx", "S 1321-2022")</f>
        <v/>
      </c>
      <c r="X7">
        <f>HYPERLINK("https://klasma.github.io/Logging_1382/kartor/S 1321-2022 karta.png", "S 1321-2022")</f>
        <v/>
      </c>
      <c r="Y7">
        <f>HYPERLINK("https://klasma.github.io/Logging_1382/kartor_geotiff/S 1321-2022 georefererad karta.tif", "S 1321-2022")</f>
        <v/>
      </c>
      <c r="AA7">
        <f>HYPERLINK("https://klasma.github.io/Logging_1382/klagomål/S 1321-2022 FSC-klagomål.docx", "S 1321-2022")</f>
        <v/>
      </c>
      <c r="AB7">
        <f>HYPERLINK("https://klasma.github.io/Logging_1382/klagomålsmail/S 1321-2022 FSC-klagomål mail.docx", "S 1321-2022")</f>
        <v/>
      </c>
      <c r="AC7">
        <f>HYPERLINK("https://klasma.github.io/Logging_1382/tillsyn/S 1321-2022 tillsynsbegäran.docx", "S 1321-2022")</f>
        <v/>
      </c>
      <c r="AD7">
        <f>HYPERLINK("https://klasma.github.io/Logging_1382/tillsynsmail/S 1321-2022 tillsynsbegäran mail.docx", "S 1321-2022")</f>
        <v/>
      </c>
      <c r="AE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46249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46249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46249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46249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46249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46249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5758-2024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45335</v>
      </c>
      <c r="E14" s="1" t="n">
        <v>46249</v>
      </c>
      <c r="F14" t="inlineStr">
        <is>
          <t>HALLANDS LÄN</t>
        </is>
      </c>
      <c r="G14" t="inlineStr">
        <is>
          <t>FALKENBERG</t>
        </is>
      </c>
      <c r="H14" t="inlineStr">
        <is>
          <t>Kyrkan</t>
        </is>
      </c>
      <c r="I14" t="n">
        <v>5.4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Gulnål
Platt fjädermossa</t>
        </is>
      </c>
      <c r="W14">
        <f>HYPERLINK("https://klasma.github.io/Logging_1382/artfynd/A 5758-2024 artfynd.xlsx", "A 5758-2024")</f>
        <v/>
      </c>
      <c r="X14">
        <f>HYPERLINK("https://klasma.github.io/Logging_1382/kartor/A 5758-2024 karta.png", "A 5758-2024")</f>
        <v/>
      </c>
      <c r="Y14">
        <f>HYPERLINK("https://klasma.github.io/Logging_1382/kartor_geotiff/A 5758-2024 georefererad karta.tif", "A 5758-2024")</f>
        <v/>
      </c>
      <c r="AA14">
        <f>HYPERLINK("https://klasma.github.io/Logging_1382/klagomål/A 5758-2024 FSC-klagomål.docx", "A 5758-2024")</f>
        <v/>
      </c>
      <c r="AB14">
        <f>HYPERLINK("https://klasma.github.io/Logging_1382/klagomålsmail/A 5758-2024 FSC-klagomål mail.docx", "A 5758-2024")</f>
        <v/>
      </c>
      <c r="AC14">
        <f>HYPERLINK("https://klasma.github.io/Logging_1382/tillsyn/A 5758-2024 tillsynsbegäran.docx", "A 5758-2024")</f>
        <v/>
      </c>
      <c r="AD14">
        <f>HYPERLINK("https://klasma.github.io/Logging_1382/tillsynsmail/A 5758-2024 tillsynsbegäran mail.docx", "A 5758-2024")</f>
        <v/>
      </c>
    </row>
    <row r="15" ht="15" customHeight="1">
      <c r="A15" t="inlineStr">
        <is>
          <t>A 9328-2022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46249</v>
      </c>
      <c r="F15" t="inlineStr">
        <is>
          <t>HALLANDS LÄN</t>
        </is>
      </c>
      <c r="G15" t="inlineStr">
        <is>
          <t>FALKENBERG</t>
        </is>
      </c>
      <c r="H15" t="inlineStr">
        <is>
          <t>Kommuner</t>
        </is>
      </c>
      <c r="I15" t="n">
        <v>1.2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Vedlavklubba
Skuggmossa</t>
        </is>
      </c>
      <c r="W15">
        <f>HYPERLINK("https://klasma.github.io/Logging_1382/artfynd/A 9328-2022 artfynd.xlsx", "A 9328-2022")</f>
        <v/>
      </c>
      <c r="X15">
        <f>HYPERLINK("https://klasma.github.io/Logging_1382/kartor/A 9328-2022 karta.png", "A 9328-2022")</f>
        <v/>
      </c>
      <c r="Y15">
        <f>HYPERLINK("https://klasma.github.io/Logging_1382/kartor_geotiff/A 9328-2022 georefererad karta.tif", "A 9328-2022")</f>
        <v/>
      </c>
      <c r="AA15">
        <f>HYPERLINK("https://klasma.github.io/Logging_1382/klagomål/A 9328-2022 FSC-klagomål.docx", "A 9328-2022")</f>
        <v/>
      </c>
      <c r="AB15">
        <f>HYPERLINK("https://klasma.github.io/Logging_1382/klagomålsmail/A 9328-2022 FSC-klagomål mail.docx", "A 9328-2022")</f>
        <v/>
      </c>
      <c r="AC15">
        <f>HYPERLINK("https://klasma.github.io/Logging_1382/tillsyn/A 9328-2022 tillsynsbegäran.docx", "A 9328-2022")</f>
        <v/>
      </c>
      <c r="AD15">
        <f>HYPERLINK("https://klasma.github.io/Logging_1382/tillsynsmail/A 9328-2022 tillsynsbegäran mail.docx", "A 9328-2022")</f>
        <v/>
      </c>
    </row>
    <row r="16" ht="15" customHeight="1">
      <c r="A16" t="inlineStr">
        <is>
          <t>A 71731-2021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44539</v>
      </c>
      <c r="E16" s="1" t="n">
        <v>46249</v>
      </c>
      <c r="F16" t="inlineStr">
        <is>
          <t>HALLANDS LÄN</t>
        </is>
      </c>
      <c r="G16" t="inlineStr">
        <is>
          <t>FALKENBERG</t>
        </is>
      </c>
      <c r="I16" t="n">
        <v>1.2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Platt fjädermossa
Trädporella</t>
        </is>
      </c>
      <c r="W16">
        <f>HYPERLINK("https://klasma.github.io/Logging_1382/artfynd/A 71731-2021 artfynd.xlsx", "A 71731-2021")</f>
        <v/>
      </c>
      <c r="X16">
        <f>HYPERLINK("https://klasma.github.io/Logging_1382/kartor/A 71731-2021 karta.png", "A 71731-2021")</f>
        <v/>
      </c>
      <c r="Y16">
        <f>HYPERLINK("https://klasma.github.io/Logging_1382/kartor_geotiff/A 71731-2021 georefererad karta.tif", "A 71731-2021")</f>
        <v/>
      </c>
      <c r="AA16">
        <f>HYPERLINK("https://klasma.github.io/Logging_1382/klagomål/A 71731-2021 FSC-klagomål.docx", "A 71731-2021")</f>
        <v/>
      </c>
      <c r="AB16">
        <f>HYPERLINK("https://klasma.github.io/Logging_1382/klagomålsmail/A 71731-2021 FSC-klagomål mail.docx", "A 71731-2021")</f>
        <v/>
      </c>
      <c r="AC16">
        <f>HYPERLINK("https://klasma.github.io/Logging_1382/tillsyn/A 71731-2021 tillsynsbegäran.docx", "A 71731-2021")</f>
        <v/>
      </c>
      <c r="AD16">
        <f>HYPERLINK("https://klasma.github.io/Logging_1382/tillsynsmail/A 71731-2021 tillsynsbegäran mail.docx", "A 71731-2021")</f>
        <v/>
      </c>
    </row>
    <row r="17" ht="15" customHeight="1">
      <c r="A17" t="inlineStr">
        <is>
          <t>A 50273-2024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45600</v>
      </c>
      <c r="E17" s="1" t="n">
        <v>46249</v>
      </c>
      <c r="F17" t="inlineStr">
        <is>
          <t>HALLANDS LÄN</t>
        </is>
      </c>
      <c r="G17" t="inlineStr">
        <is>
          <t>FALKENBERG</t>
        </is>
      </c>
      <c r="I17" t="n">
        <v>2.7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Flytsvalting
Revlummer</t>
        </is>
      </c>
      <c r="W17">
        <f>HYPERLINK("https://klasma.github.io/Logging_1382/artfynd/A 50273-2024 artfynd.xlsx", "A 50273-2024")</f>
        <v/>
      </c>
      <c r="X17">
        <f>HYPERLINK("https://klasma.github.io/Logging_1382/kartor/A 50273-2024 karta.png", "A 50273-2024")</f>
        <v/>
      </c>
      <c r="Y17">
        <f>HYPERLINK("https://klasma.github.io/Logging_1382/kartor_geotiff/A 50273-2024 georefererad karta.tif", "A 50273-2024")</f>
        <v/>
      </c>
      <c r="AA17">
        <f>HYPERLINK("https://klasma.github.io/Logging_1382/klagomål/A 50273-2024 FSC-klagomål.docx", "A 50273-2024")</f>
        <v/>
      </c>
      <c r="AB17">
        <f>HYPERLINK("https://klasma.github.io/Logging_1382/klagomålsmail/A 50273-2024 FSC-klagomål mail.docx", "A 50273-2024")</f>
        <v/>
      </c>
      <c r="AC17">
        <f>HYPERLINK("https://klasma.github.io/Logging_1382/tillsyn/A 50273-2024 tillsynsbegäran.docx", "A 50273-2024")</f>
        <v/>
      </c>
      <c r="AD17">
        <f>HYPERLINK("https://klasma.github.io/Logging_1382/tillsynsmail/A 50273-2024 tillsynsbegäran mail.docx", "A 50273-2024")</f>
        <v/>
      </c>
    </row>
    <row r="18" ht="15" customHeight="1">
      <c r="A18" t="inlineStr">
        <is>
          <t>A 24055-2024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45456</v>
      </c>
      <c r="E18" s="1" t="n">
        <v>46249</v>
      </c>
      <c r="F18" t="inlineStr">
        <is>
          <t>HALLANDS LÄN</t>
        </is>
      </c>
      <c r="G18" t="inlineStr">
        <is>
          <t>FALKENBERG</t>
        </is>
      </c>
      <c r="I18" t="n">
        <v>7.7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5</v>
      </c>
      <c r="U18" t="n">
        <v>4</v>
      </c>
      <c r="V18" s="2" t="inlineStr">
        <is>
          <t>Tjäder
Revlummer</t>
        </is>
      </c>
      <c r="W18">
        <f>HYPERLINK("https://klasma.github.io/Logging_1382/artfynd/A 24055-2024 artfynd.xlsx", "A 24055-2024")</f>
        <v/>
      </c>
      <c r="X18">
        <f>HYPERLINK("https://klasma.github.io/Logging_1382/kartor/A 24055-2024 karta.png", "A 24055-2024")</f>
        <v/>
      </c>
      <c r="Y18">
        <f>HYPERLINK("https://klasma.github.io/Logging_1382/kartor_geotiff/A 24055-2024 georefererad karta.tif", "A 24055-2024")</f>
        <v/>
      </c>
      <c r="AA18">
        <f>HYPERLINK("https://klasma.github.io/Logging_1382/klagomål/A 24055-2024 FSC-klagomål.docx", "A 24055-2024")</f>
        <v/>
      </c>
      <c r="AB18">
        <f>HYPERLINK("https://klasma.github.io/Logging_1382/klagomålsmail/A 24055-2024 FSC-klagomål mail.docx", "A 24055-2024")</f>
        <v/>
      </c>
      <c r="AC18">
        <f>HYPERLINK("https://klasma.github.io/Logging_1382/tillsyn/A 24055-2024 tillsynsbegäran.docx", "A 24055-2024")</f>
        <v/>
      </c>
      <c r="AD18">
        <f>HYPERLINK("https://klasma.github.io/Logging_1382/tillsynsmail/A 24055-2024 tillsynsbegäran mail.docx", "A 24055-2024")</f>
        <v/>
      </c>
      <c r="AE18">
        <f>HYPERLINK("https://klasma.github.io/Logging_1382/fåglar/A 24055-2024 prioriterade fågelarter.docx", "A 24055-2024")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46249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Bokvårtlav
Platt fjädermossa</t>
        </is>
      </c>
      <c r="W19">
        <f>HYPERLINK("https://klasma.github.io/Logging_1382/artfynd/A 20935-2026 artfynd.xlsx", "A 20935-2026")</f>
        <v/>
      </c>
      <c r="X19">
        <f>HYPERLINK("https://klasma.github.io/Logging_1382/kartor/A 20935-2026 karta.png", "A 20935-2026")</f>
        <v/>
      </c>
      <c r="Y19">
        <f>HYPERLINK("https://klasma.github.io/Logging_1382/kartor_geotiff/A 20935-2026 georefererad karta.tif", "A 20935-2026")</f>
        <v/>
      </c>
      <c r="AA19">
        <f>HYPERLINK("https://klasma.github.io/Logging_1382/klagomål/A 20935-2026 FSC-klagomål.docx", "A 20935-2026")</f>
        <v/>
      </c>
      <c r="AB19">
        <f>HYPERLINK("https://klasma.github.io/Logging_1382/klagomålsmail/A 20935-2026 FSC-klagomål mail.docx", "A 20935-2026")</f>
        <v/>
      </c>
      <c r="AC19">
        <f>HYPERLINK("https://klasma.github.io/Logging_1382/tillsyn/A 20935-2026 tillsynsbegäran.docx", "A 20935-2026")</f>
        <v/>
      </c>
      <c r="AD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46249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46249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46249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46249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46249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46249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55880-2023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45239</v>
      </c>
      <c r="E26" s="1" t="n">
        <v>46249</v>
      </c>
      <c r="F26" t="inlineStr">
        <is>
          <t>HALLANDS LÄN</t>
        </is>
      </c>
      <c r="G26" t="inlineStr">
        <is>
          <t>FALKENBERG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Kopparödla</t>
        </is>
      </c>
      <c r="W26">
        <f>HYPERLINK("https://klasma.github.io/Logging_1382/artfynd/A 55880-2023 artfynd.xlsx", "A 55880-2023")</f>
        <v/>
      </c>
      <c r="X26">
        <f>HYPERLINK("https://klasma.github.io/Logging_1382/kartor/A 55880-2023 karta.png", "A 55880-2023")</f>
        <v/>
      </c>
      <c r="Y26">
        <f>HYPERLINK("https://klasma.github.io/Logging_1382/kartor_geotiff/A 55880-2023 georefererad karta.tif", "A 55880-2023")</f>
        <v/>
      </c>
      <c r="AA26">
        <f>HYPERLINK("https://klasma.github.io/Logging_1382/klagomål/A 55880-2023 FSC-klagomål.docx", "A 55880-2023")</f>
        <v/>
      </c>
      <c r="AB26">
        <f>HYPERLINK("https://klasma.github.io/Logging_1382/klagomålsmail/A 55880-2023 FSC-klagomål mail.docx", "A 55880-2023")</f>
        <v/>
      </c>
      <c r="AC26">
        <f>HYPERLINK("https://klasma.github.io/Logging_1382/tillsyn/A 55880-2023 tillsynsbegäran.docx", "A 55880-2023")</f>
        <v/>
      </c>
      <c r="AD26">
        <f>HYPERLINK("https://klasma.github.io/Logging_1382/tillsynsmail/A 55880-2023 tillsynsbegäran mail.docx", "A 55880-2023")</f>
        <v/>
      </c>
    </row>
    <row r="27" ht="15" customHeight="1">
      <c r="A27" t="inlineStr">
        <is>
          <t>A 42551-2024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45565</v>
      </c>
      <c r="E27" s="1" t="n">
        <v>46249</v>
      </c>
      <c r="F27" t="inlineStr">
        <is>
          <t>HALLANDS LÄN</t>
        </is>
      </c>
      <c r="G27" t="inlineStr">
        <is>
          <t>FALKENBERG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Röd glada</t>
        </is>
      </c>
      <c r="W27">
        <f>HYPERLINK("https://klasma.github.io/Logging_1382/artfynd/A 42551-2024 artfynd.xlsx", "A 42551-2024")</f>
        <v/>
      </c>
      <c r="X27">
        <f>HYPERLINK("https://klasma.github.io/Logging_1382/kartor/A 42551-2024 karta.png", "A 42551-2024")</f>
        <v/>
      </c>
      <c r="Y27">
        <f>HYPERLINK("https://klasma.github.io/Logging_1382/kartor_geotiff/A 42551-2024 georefererad karta.tif", "A 42551-2024")</f>
        <v/>
      </c>
      <c r="AA27">
        <f>HYPERLINK("https://klasma.github.io/Logging_1382/klagomål/A 42551-2024 FSC-klagomål.docx", "A 42551-2024")</f>
        <v/>
      </c>
      <c r="AB27">
        <f>HYPERLINK("https://klasma.github.io/Logging_1382/klagomålsmail/A 42551-2024 FSC-klagomål mail.docx", "A 42551-2024")</f>
        <v/>
      </c>
      <c r="AC27">
        <f>HYPERLINK("https://klasma.github.io/Logging_1382/tillsyn/A 42551-2024 tillsynsbegäran.docx", "A 42551-2024")</f>
        <v/>
      </c>
      <c r="AD27">
        <f>HYPERLINK("https://klasma.github.io/Logging_1382/tillsynsmail/A 42551-2024 tillsynsbegäran mail.docx", "A 42551-2024")</f>
        <v/>
      </c>
      <c r="AE27">
        <f>HYPERLINK("https://klasma.github.io/Logging_1382/fåglar/A 42551-2024 prioriterade fågelarter.docx", "A 42551-2024")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46249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46249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46249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46249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58534-2022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46249</v>
      </c>
      <c r="F32" t="inlineStr">
        <is>
          <t>HALLANDS LÄN</t>
        </is>
      </c>
      <c r="G32" t="inlineStr">
        <is>
          <t>FALKENBERG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HYPERLINK("https://klasma.github.io/Logging_1382/artfynd/A 58534-2022 artfynd.xlsx", "A 58534-2022")</f>
        <v/>
      </c>
      <c r="X32">
        <f>HYPERLINK("https://klasma.github.io/Logging_1382/kartor/A 58534-2022 karta.png", "A 58534-2022")</f>
        <v/>
      </c>
      <c r="Y32">
        <f>HYPERLINK("https://klasma.github.io/Logging_1382/kartor_geotiff/A 58534-2022 georefererad karta.tif", "A 58534-2022")</f>
        <v/>
      </c>
      <c r="AA32">
        <f>HYPERLINK("https://klasma.github.io/Logging_1382/klagomål/A 58534-2022 FSC-klagomål.docx", "A 58534-2022")</f>
        <v/>
      </c>
      <c r="AB32">
        <f>HYPERLINK("https://klasma.github.io/Logging_1382/klagomålsmail/A 58534-2022 FSC-klagomål mail.docx", "A 58534-2022")</f>
        <v/>
      </c>
      <c r="AC32">
        <f>HYPERLINK("https://klasma.github.io/Logging_1382/tillsyn/A 58534-2022 tillsynsbegäran.docx", "A 58534-2022")</f>
        <v/>
      </c>
      <c r="AD32">
        <f>HYPERLINK("https://klasma.github.io/Logging_1382/tillsynsmail/A 58534-2022 tillsynsbegäran mail.docx", "A 58534-2022")</f>
        <v/>
      </c>
    </row>
    <row r="33" ht="15" customHeight="1">
      <c r="A33" t="inlineStr">
        <is>
          <t>A 8483-2024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45355</v>
      </c>
      <c r="E33" s="1" t="n">
        <v>46249</v>
      </c>
      <c r="F33" t="inlineStr">
        <is>
          <t>HALLANDS LÄN</t>
        </is>
      </c>
      <c r="G33" t="inlineStr">
        <is>
          <t>FALKENBERG</t>
        </is>
      </c>
      <c r="I33" t="n">
        <v>2.7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Röd glada</t>
        </is>
      </c>
      <c r="W33">
        <f>HYPERLINK("https://klasma.github.io/Logging_1382/artfynd/A 8483-2024 artfynd.xlsx", "A 8483-2024")</f>
        <v/>
      </c>
      <c r="X33">
        <f>HYPERLINK("https://klasma.github.io/Logging_1382/kartor/A 8483-2024 karta.png", "A 8483-2024")</f>
        <v/>
      </c>
      <c r="Y33">
        <f>HYPERLINK("https://klasma.github.io/Logging_1382/kartor_geotiff/A 8483-2024 georefererad karta.tif", "A 8483-2024")</f>
        <v/>
      </c>
      <c r="AA33">
        <f>HYPERLINK("https://klasma.github.io/Logging_1382/klagomål/A 8483-2024 FSC-klagomål.docx", "A 8483-2024")</f>
        <v/>
      </c>
      <c r="AB33">
        <f>HYPERLINK("https://klasma.github.io/Logging_1382/klagomålsmail/A 8483-2024 FSC-klagomål mail.docx", "A 8483-2024")</f>
        <v/>
      </c>
      <c r="AC33">
        <f>HYPERLINK("https://klasma.github.io/Logging_1382/tillsyn/A 8483-2024 tillsynsbegäran.docx", "A 8483-2024")</f>
        <v/>
      </c>
      <c r="AD33">
        <f>HYPERLINK("https://klasma.github.io/Logging_1382/tillsynsmail/A 8483-2024 tillsynsbegäran mail.docx", "A 8483-2024")</f>
        <v/>
      </c>
      <c r="AE33">
        <f>HYPERLINK("https://klasma.github.io/Logging_1382/fåglar/A 8483-2024 prioriterade fågelarter.docx", "A 8483-2024")</f>
        <v/>
      </c>
    </row>
    <row r="34" ht="15" customHeight="1">
      <c r="A34" t="inlineStr">
        <is>
          <t>A 50078-2024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46249</v>
      </c>
      <c r="F34" t="inlineStr">
        <is>
          <t>HALLANDS LÄN</t>
        </is>
      </c>
      <c r="G34" t="inlineStr">
        <is>
          <t>FALKENBERG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HYPERLINK("https://klasma.github.io/Logging_1382/artfynd/A 50078-2024 artfynd.xlsx", "A 50078-2024")</f>
        <v/>
      </c>
      <c r="X34">
        <f>HYPERLINK("https://klasma.github.io/Logging_1382/kartor/A 50078-2024 karta.png", "A 50078-2024")</f>
        <v/>
      </c>
      <c r="Y34">
        <f>HYPERLINK("https://klasma.github.io/Logging_1382/kartor_geotiff/A 50078-2024 georefererad karta.tif", "A 50078-2024")</f>
        <v/>
      </c>
      <c r="AA34">
        <f>HYPERLINK("https://klasma.github.io/Logging_1382/klagomål/A 50078-2024 FSC-klagomål.docx", "A 50078-2024")</f>
        <v/>
      </c>
      <c r="AB34">
        <f>HYPERLINK("https://klasma.github.io/Logging_1382/klagomålsmail/A 50078-2024 FSC-klagomål mail.docx", "A 50078-2024")</f>
        <v/>
      </c>
      <c r="AC34">
        <f>HYPERLINK("https://klasma.github.io/Logging_1382/tillsyn/A 50078-2024 tillsynsbegäran.docx", "A 50078-2024")</f>
        <v/>
      </c>
      <c r="AD34">
        <f>HYPERLINK("https://klasma.github.io/Logging_1382/tillsynsmail/A 50078-2024 tillsynsbegäran mail.docx", "A 50078-2024")</f>
        <v/>
      </c>
    </row>
    <row r="35" ht="15" customHeight="1">
      <c r="A35" t="inlineStr">
        <is>
          <t>A 41802-2024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46249</v>
      </c>
      <c r="F35" t="inlineStr">
        <is>
          <t>HALLANDS LÄN</t>
        </is>
      </c>
      <c r="G35" t="inlineStr">
        <is>
          <t>FALKENBERG</t>
        </is>
      </c>
      <c r="I35" t="n">
        <v>1.6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HYPERLINK("https://klasma.github.io/Logging_1382/artfynd/A 41802-2024 artfynd.xlsx", "A 41802-2024")</f>
        <v/>
      </c>
      <c r="X35">
        <f>HYPERLINK("https://klasma.github.io/Logging_1382/kartor/A 41802-2024 karta.png", "A 41802-2024")</f>
        <v/>
      </c>
      <c r="Y35">
        <f>HYPERLINK("https://klasma.github.io/Logging_1382/kartor_geotiff/A 41802-2024 georefererad karta.tif", "A 41802-2024")</f>
        <v/>
      </c>
      <c r="AA35">
        <f>HYPERLINK("https://klasma.github.io/Logging_1382/klagomål/A 41802-2024 FSC-klagomål.docx", "A 41802-2024")</f>
        <v/>
      </c>
      <c r="AB35">
        <f>HYPERLINK("https://klasma.github.io/Logging_1382/klagomålsmail/A 41802-2024 FSC-klagomål mail.docx", "A 41802-2024")</f>
        <v/>
      </c>
      <c r="AC35">
        <f>HYPERLINK("https://klasma.github.io/Logging_1382/tillsyn/A 41802-2024 tillsynsbegäran.docx", "A 41802-2024")</f>
        <v/>
      </c>
      <c r="AD35">
        <f>HYPERLINK("https://klasma.github.io/Logging_1382/tillsynsmail/A 41802-2024 tillsynsbegäran mail.docx", "A 41802-2024")</f>
        <v/>
      </c>
    </row>
    <row r="36" ht="15" customHeight="1">
      <c r="A36" t="inlineStr">
        <is>
          <t>A 46059-2023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46249</v>
      </c>
      <c r="F36" t="inlineStr">
        <is>
          <t>HALLANDS LÄN</t>
        </is>
      </c>
      <c r="G36" t="inlineStr">
        <is>
          <t>FALKENBERG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Loppstarr</t>
        </is>
      </c>
      <c r="W36">
        <f>HYPERLINK("https://klasma.github.io/Logging_1382/artfynd/A 46059-2023 artfynd.xlsx", "A 46059-2023")</f>
        <v/>
      </c>
      <c r="X36">
        <f>HYPERLINK("https://klasma.github.io/Logging_1382/kartor/A 46059-2023 karta.png", "A 46059-2023")</f>
        <v/>
      </c>
      <c r="Y36">
        <f>HYPERLINK("https://klasma.github.io/Logging_1382/kartor_geotiff/A 46059-2023 georefererad karta.tif", "A 46059-2023")</f>
        <v/>
      </c>
      <c r="AA36">
        <f>HYPERLINK("https://klasma.github.io/Logging_1382/klagomål/A 46059-2023 FSC-klagomål.docx", "A 46059-2023")</f>
        <v/>
      </c>
      <c r="AB36">
        <f>HYPERLINK("https://klasma.github.io/Logging_1382/klagomålsmail/A 46059-2023 FSC-klagomål mail.docx", "A 46059-2023")</f>
        <v/>
      </c>
      <c r="AC36">
        <f>HYPERLINK("https://klasma.github.io/Logging_1382/tillsyn/A 46059-2023 tillsynsbegäran.docx", "A 46059-2023")</f>
        <v/>
      </c>
      <c r="AD36">
        <f>HYPERLINK("https://klasma.github.io/Logging_1382/tillsynsmail/A 46059-2023 tillsynsbegäran mail.docx", "A 46059-2023")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46249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1274-2025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45667</v>
      </c>
      <c r="E38" s="1" t="n">
        <v>46249</v>
      </c>
      <c r="F38" t="inlineStr">
        <is>
          <t>HALLANDS LÄN</t>
        </is>
      </c>
      <c r="G38" t="inlineStr">
        <is>
          <t>FALKENBERG</t>
        </is>
      </c>
      <c r="I38" t="n">
        <v>7.7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Kambräken</t>
        </is>
      </c>
      <c r="W38">
        <f>HYPERLINK("https://klasma.github.io/Logging_1382/artfynd/A 1274-2025 artfynd.xlsx", "A 1274-2025")</f>
        <v/>
      </c>
      <c r="X38">
        <f>HYPERLINK("https://klasma.github.io/Logging_1382/kartor/A 1274-2025 karta.png", "A 1274-2025")</f>
        <v/>
      </c>
      <c r="Y38">
        <f>HYPERLINK("https://klasma.github.io/Logging_1382/kartor_geotiff/A 1274-2025 georefererad karta.tif", "A 1274-2025")</f>
        <v/>
      </c>
      <c r="AA38">
        <f>HYPERLINK("https://klasma.github.io/Logging_1382/klagomål/A 1274-2025 FSC-klagomål.docx", "A 1274-2025")</f>
        <v/>
      </c>
      <c r="AB38">
        <f>HYPERLINK("https://klasma.github.io/Logging_1382/klagomålsmail/A 1274-2025 FSC-klagomål mail.docx", "A 1274-2025")</f>
        <v/>
      </c>
      <c r="AC38">
        <f>HYPERLINK("https://klasma.github.io/Logging_1382/tillsyn/A 1274-2025 tillsynsbegäran.docx", "A 1274-2025")</f>
        <v/>
      </c>
      <c r="AD38">
        <f>HYPERLINK("https://klasma.github.io/Logging_1382/tillsynsmail/A 1274-2025 tillsynsbegäran mail.docx", "A 1274-2025")</f>
        <v/>
      </c>
    </row>
    <row r="39" ht="15" customHeight="1">
      <c r="A39" t="inlineStr">
        <is>
          <t>A 63130-2023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45273</v>
      </c>
      <c r="E39" s="1" t="n">
        <v>46249</v>
      </c>
      <c r="F39" t="inlineStr">
        <is>
          <t>HALLANDS LÄN</t>
        </is>
      </c>
      <c r="G39" t="inlineStr">
        <is>
          <t>FALKENBERG</t>
        </is>
      </c>
      <c r="I39" t="n">
        <v>4.1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Hårginst</t>
        </is>
      </c>
      <c r="W39">
        <f>HYPERLINK("https://klasma.github.io/Logging_1382/artfynd/A 63130-2023 artfynd.xlsx", "A 63130-2023")</f>
        <v/>
      </c>
      <c r="X39">
        <f>HYPERLINK("https://klasma.github.io/Logging_1382/kartor/A 63130-2023 karta.png", "A 63130-2023")</f>
        <v/>
      </c>
      <c r="Y39">
        <f>HYPERLINK("https://klasma.github.io/Logging_1382/kartor_geotiff/A 63130-2023 georefererad karta.tif", "A 63130-2023")</f>
        <v/>
      </c>
      <c r="AA39">
        <f>HYPERLINK("https://klasma.github.io/Logging_1382/klagomål/A 63130-2023 FSC-klagomål.docx", "A 63130-2023")</f>
        <v/>
      </c>
      <c r="AB39">
        <f>HYPERLINK("https://klasma.github.io/Logging_1382/klagomålsmail/A 63130-2023 FSC-klagomål mail.docx", "A 63130-2023")</f>
        <v/>
      </c>
      <c r="AC39">
        <f>HYPERLINK("https://klasma.github.io/Logging_1382/tillsyn/A 63130-2023 tillsynsbegäran.docx", "A 63130-2023")</f>
        <v/>
      </c>
      <c r="AD39">
        <f>HYPERLINK("https://klasma.github.io/Logging_1382/tillsynsmail/A 63130-2023 tillsynsbegäran mail.docx", "A 63130-2023")</f>
        <v/>
      </c>
    </row>
    <row r="40" ht="15" customHeight="1">
      <c r="A40" t="inlineStr">
        <is>
          <t>A 21814-2023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46249</v>
      </c>
      <c r="F40" t="inlineStr">
        <is>
          <t>HALLANDS LÄN</t>
        </is>
      </c>
      <c r="G40" t="inlineStr">
        <is>
          <t>FALKENBERG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21814-2023 artfynd.xlsx", "A 21814-2023")</f>
        <v/>
      </c>
      <c r="X40">
        <f>HYPERLINK("https://klasma.github.io/Logging_1382/kartor/A 21814-2023 karta.png", "A 21814-2023")</f>
        <v/>
      </c>
      <c r="Y40">
        <f>HYPERLINK("https://klasma.github.io/Logging_1382/kartor_geotiff/A 21814-2023 georefererad karta.tif", "A 21814-2023")</f>
        <v/>
      </c>
      <c r="AA40">
        <f>HYPERLINK("https://klasma.github.io/Logging_1382/klagomål/A 21814-2023 FSC-klagomål.docx", "A 21814-2023")</f>
        <v/>
      </c>
      <c r="AB40">
        <f>HYPERLINK("https://klasma.github.io/Logging_1382/klagomålsmail/A 21814-2023 FSC-klagomål mail.docx", "A 21814-2023")</f>
        <v/>
      </c>
      <c r="AC40">
        <f>HYPERLINK("https://klasma.github.io/Logging_1382/tillsyn/A 21814-2023 tillsynsbegäran.docx", "A 21814-2023")</f>
        <v/>
      </c>
      <c r="AD40">
        <f>HYPERLINK("https://klasma.github.io/Logging_1382/tillsynsmail/A 21814-2023 tillsynsbegäran mail.docx", "A 21814-2023")</f>
        <v/>
      </c>
    </row>
    <row r="41" ht="15" customHeight="1">
      <c r="A41" t="inlineStr">
        <is>
          <t>A 63247-2023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45273</v>
      </c>
      <c r="E41" s="1" t="n">
        <v>46249</v>
      </c>
      <c r="F41" t="inlineStr">
        <is>
          <t>HALLANDS LÄN</t>
        </is>
      </c>
      <c r="G41" t="inlineStr">
        <is>
          <t>FALKENBERG</t>
        </is>
      </c>
      <c r="I41" t="n">
        <v>6.8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Myskbock</t>
        </is>
      </c>
      <c r="W41">
        <f>HYPERLINK("https://klasma.github.io/Logging_1382/artfynd/A 63247-2023 artfynd.xlsx", "A 63247-2023")</f>
        <v/>
      </c>
      <c r="X41">
        <f>HYPERLINK("https://klasma.github.io/Logging_1382/kartor/A 63247-2023 karta.png", "A 63247-2023")</f>
        <v/>
      </c>
      <c r="Y41">
        <f>HYPERLINK("https://klasma.github.io/Logging_1382/kartor_geotiff/A 63247-2023 georefererad karta.tif", "A 63247-2023")</f>
        <v/>
      </c>
      <c r="AA41">
        <f>HYPERLINK("https://klasma.github.io/Logging_1382/klagomål/A 63247-2023 FSC-klagomål.docx", "A 63247-2023")</f>
        <v/>
      </c>
      <c r="AB41">
        <f>HYPERLINK("https://klasma.github.io/Logging_1382/klagomålsmail/A 63247-2023 FSC-klagomål mail.docx", "A 63247-2023")</f>
        <v/>
      </c>
      <c r="AC41">
        <f>HYPERLINK("https://klasma.github.io/Logging_1382/tillsyn/A 63247-2023 tillsynsbegäran.docx", "A 63247-2023")</f>
        <v/>
      </c>
      <c r="AD41">
        <f>HYPERLINK("https://klasma.github.io/Logging_1382/tillsynsmail/A 63247-2023 tillsynsbegäran mail.docx", "A 63247-2023")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46249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2755-2022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44705</v>
      </c>
      <c r="E43" s="1" t="n">
        <v>46249</v>
      </c>
      <c r="F43" t="inlineStr">
        <is>
          <t>HALLANDS LÄN</t>
        </is>
      </c>
      <c r="G43" t="inlineStr">
        <is>
          <t>FALKENBERG</t>
        </is>
      </c>
      <c r="I43" t="n">
        <v>0.1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Rostfläck</t>
        </is>
      </c>
      <c r="W43">
        <f>HYPERLINK("https://klasma.github.io/Logging_1382/artfynd/S 2755-2022 artfynd.xlsx", "S 2755-2022")</f>
        <v/>
      </c>
      <c r="X43">
        <f>HYPERLINK("https://klasma.github.io/Logging_1382/kartor/S 2755-2022 karta.png", "S 2755-2022")</f>
        <v/>
      </c>
      <c r="Y43">
        <f>HYPERLINK("https://klasma.github.io/Logging_1382/kartor_geotiff/S 2755-2022 georefererad karta.tif", "S 2755-2022")</f>
        <v/>
      </c>
      <c r="AA43">
        <f>HYPERLINK("https://klasma.github.io/Logging_1382/klagomål/S 2755-2022 FSC-klagomål.docx", "S 2755-2022")</f>
        <v/>
      </c>
      <c r="AB43">
        <f>HYPERLINK("https://klasma.github.io/Logging_1382/klagomålsmail/S 2755-2022 FSC-klagomål mail.docx", "S 2755-2022")</f>
        <v/>
      </c>
      <c r="AC43">
        <f>HYPERLINK("https://klasma.github.io/Logging_1382/tillsyn/S 2755-2022 tillsynsbegäran.docx", "S 2755-2022")</f>
        <v/>
      </c>
      <c r="AD43">
        <f>HYPERLINK("https://klasma.github.io/Logging_1382/tillsynsmail/S 2755-2022 tillsynsbegäran mail.docx", "S 2755-2022")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46249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46249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46249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46249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46249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46249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46249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A 36995-2022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44806</v>
      </c>
      <c r="E51" s="1" t="n">
        <v>46249</v>
      </c>
      <c r="F51" t="inlineStr">
        <is>
          <t>HALLANDS LÄN</t>
        </is>
      </c>
      <c r="G51" t="inlineStr">
        <is>
          <t>FALKENBERG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44476</v>
      </c>
      <c r="E52" s="1" t="n">
        <v>46249</v>
      </c>
      <c r="F52" t="inlineStr">
        <is>
          <t>HALLANDS LÄN</t>
        </is>
      </c>
      <c r="G52" t="inlineStr">
        <is>
          <t>FALKENBERG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44432</v>
      </c>
      <c r="E53" s="1" t="n">
        <v>46249</v>
      </c>
      <c r="F53" t="inlineStr">
        <is>
          <t>HALLANDS LÄN</t>
        </is>
      </c>
      <c r="G53" t="inlineStr">
        <is>
          <t>FALKENBERG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46249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46249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49476-2021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46249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49214-2021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46249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71761-2021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46249</v>
      </c>
      <c r="F58" t="inlineStr">
        <is>
          <t>HALLANDS LÄN</t>
        </is>
      </c>
      <c r="G58" t="inlineStr">
        <is>
          <t>FALKENBERG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46249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46249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53081-2021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44467</v>
      </c>
      <c r="E61" s="1" t="n">
        <v>46249</v>
      </c>
      <c r="F61" t="inlineStr">
        <is>
          <t>HALLANDS LÄN</t>
        </is>
      </c>
      <c r="G61" t="inlineStr">
        <is>
          <t>FALKENBERG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44867</v>
      </c>
      <c r="E62" s="1" t="n">
        <v>46249</v>
      </c>
      <c r="F62" t="inlineStr">
        <is>
          <t>HALLANDS LÄN</t>
        </is>
      </c>
      <c r="G62" t="inlineStr">
        <is>
          <t>FALKENBERG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52769-2021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46249</v>
      </c>
      <c r="F63" t="inlineStr">
        <is>
          <t>HALLANDS LÄN</t>
        </is>
      </c>
      <c r="G63" t="inlineStr">
        <is>
          <t>FALKENBERG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46249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46249</v>
      </c>
      <c r="F65" t="inlineStr">
        <is>
          <t>HALLANDS LÄN</t>
        </is>
      </c>
      <c r="G65" t="inlineStr">
        <is>
          <t>FALKENBERG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46249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46249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46249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43331-2021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44432</v>
      </c>
      <c r="E69" s="1" t="n">
        <v>46249</v>
      </c>
      <c r="F69" t="inlineStr">
        <is>
          <t>HALLANDS LÄN</t>
        </is>
      </c>
      <c r="G69" t="inlineStr">
        <is>
          <t>FALKENBERG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46249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46249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46249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42868-2021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46249</v>
      </c>
      <c r="F73" t="inlineStr">
        <is>
          <t>HALLANDS LÄN</t>
        </is>
      </c>
      <c r="G73" t="inlineStr">
        <is>
          <t>FALKENBERG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46249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46249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46249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46249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46249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46249</v>
      </c>
      <c r="F79" t="inlineStr">
        <is>
          <t>HALLANDS LÄN</t>
        </is>
      </c>
      <c r="G79" t="inlineStr">
        <is>
          <t>FALKENBERG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46249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46249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46249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46249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46249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46249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46249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46249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46249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46249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46249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46249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44747</v>
      </c>
      <c r="E92" s="1" t="n">
        <v>46249</v>
      </c>
      <c r="F92" t="inlineStr">
        <is>
          <t>HALLANDS LÄN</t>
        </is>
      </c>
      <c r="G92" t="inlineStr">
        <is>
          <t>FALKENBERG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44424</v>
      </c>
      <c r="E93" s="1" t="n">
        <v>46249</v>
      </c>
      <c r="F93" t="inlineStr">
        <is>
          <t>HALLANDS LÄN</t>
        </is>
      </c>
      <c r="G93" t="inlineStr">
        <is>
          <t>FALKENBERG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46249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46249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46249</v>
      </c>
      <c r="F96" t="inlineStr">
        <is>
          <t>HALLANDS LÄN</t>
        </is>
      </c>
      <c r="G96" t="inlineStr">
        <is>
          <t>FALKENBERG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46249</v>
      </c>
      <c r="F97" t="inlineStr">
        <is>
          <t>HALLANDS LÄN</t>
        </is>
      </c>
      <c r="G97" t="inlineStr">
        <is>
          <t>FALKENBERG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46249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46249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41732-2021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44425</v>
      </c>
      <c r="E100" s="1" t="n">
        <v>46249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46249</v>
      </c>
      <c r="F101" t="inlineStr">
        <is>
          <t>HALLANDS LÄN</t>
        </is>
      </c>
      <c r="G101" t="inlineStr">
        <is>
          <t>FALKENBERG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52772-2021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46249</v>
      </c>
      <c r="F102" t="inlineStr">
        <is>
          <t>HALLANDS LÄN</t>
        </is>
      </c>
      <c r="G102" t="inlineStr">
        <is>
          <t>FALKENBERG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46249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46249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46249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15858-2022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44664</v>
      </c>
      <c r="E106" s="1" t="n">
        <v>46249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10003-2024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46249</v>
      </c>
      <c r="F107" t="inlineStr">
        <is>
          <t>HALLANDS LÄN</t>
        </is>
      </c>
      <c r="G107" t="inlineStr">
        <is>
          <t>FALKENBERG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46249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36980-2022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46249</v>
      </c>
      <c r="F109" t="inlineStr">
        <is>
          <t>HALLANDS LÄN</t>
        </is>
      </c>
      <c r="G109" t="inlineStr">
        <is>
          <t>FALKENBERG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46249</v>
      </c>
      <c r="F110" t="inlineStr">
        <is>
          <t>HALLANDS LÄN</t>
        </is>
      </c>
      <c r="G110" t="inlineStr">
        <is>
          <t>FALKENBERG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46249</v>
      </c>
      <c r="F111" t="inlineStr">
        <is>
          <t>HALLANDS LÄN</t>
        </is>
      </c>
      <c r="G111" t="inlineStr">
        <is>
          <t>FALKENBERG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46249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46249</v>
      </c>
      <c r="F113" t="inlineStr">
        <is>
          <t>HALLANDS LÄN</t>
        </is>
      </c>
      <c r="G113" t="inlineStr">
        <is>
          <t>FALKENBERG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46249</v>
      </c>
      <c r="F114" t="inlineStr">
        <is>
          <t>HALLANDS LÄN</t>
        </is>
      </c>
      <c r="G114" t="inlineStr">
        <is>
          <t>FALKENBERG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46249</v>
      </c>
      <c r="F115" t="inlineStr">
        <is>
          <t>HALLANDS LÄN</t>
        </is>
      </c>
      <c r="G115" t="inlineStr">
        <is>
          <t>FALKENBERG</t>
        </is>
      </c>
      <c r="H115" t="inlineStr">
        <is>
          <t>Kyrkan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52477-2021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44466</v>
      </c>
      <c r="E116" s="1" t="n">
        <v>46249</v>
      </c>
      <c r="F116" t="inlineStr">
        <is>
          <t>HALLANDS LÄN</t>
        </is>
      </c>
      <c r="G116" t="inlineStr">
        <is>
          <t>FALKENBERG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70733-2021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46249</v>
      </c>
      <c r="F117" t="inlineStr">
        <is>
          <t>HALLANDS LÄN</t>
        </is>
      </c>
      <c r="G117" t="inlineStr">
        <is>
          <t>FALKENBERG</t>
        </is>
      </c>
      <c r="H117" t="inlineStr">
        <is>
          <t>Kyrkan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46249</v>
      </c>
      <c r="F118" t="inlineStr">
        <is>
          <t>HALLANDS LÄN</t>
        </is>
      </c>
      <c r="G118" t="inlineStr">
        <is>
          <t>FALKENBERG</t>
        </is>
      </c>
      <c r="H118" t="inlineStr">
        <is>
          <t>Bergvik skog väst AB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44638</v>
      </c>
      <c r="E119" s="1" t="n">
        <v>46249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46249</v>
      </c>
      <c r="F120" t="inlineStr">
        <is>
          <t>HALLANDS LÄN</t>
        </is>
      </c>
      <c r="G120" t="inlineStr">
        <is>
          <t>FALKENBERG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45182</v>
      </c>
      <c r="E121" s="1" t="n">
        <v>46249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46249</v>
      </c>
      <c r="F122" t="inlineStr">
        <is>
          <t>HALLANDS LÄN</t>
        </is>
      </c>
      <c r="G122" t="inlineStr">
        <is>
          <t>FALKENBERG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45426</v>
      </c>
      <c r="E123" s="1" t="n">
        <v>46249</v>
      </c>
      <c r="F123" t="inlineStr">
        <is>
          <t>HALLANDS LÄN</t>
        </is>
      </c>
      <c r="G123" t="inlineStr">
        <is>
          <t>FALKENBERG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53400-2023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45229</v>
      </c>
      <c r="E124" s="1" t="n">
        <v>46249</v>
      </c>
      <c r="F124" t="inlineStr">
        <is>
          <t>HALLANDS LÄN</t>
        </is>
      </c>
      <c r="G124" t="inlineStr">
        <is>
          <t>FALKENBERG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45131</v>
      </c>
      <c r="E125" s="1" t="n">
        <v>46249</v>
      </c>
      <c r="F125" t="inlineStr">
        <is>
          <t>HALLANDS LÄN</t>
        </is>
      </c>
      <c r="G125" t="inlineStr">
        <is>
          <t>FALKENBERG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56775-2021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44481</v>
      </c>
      <c r="E126" s="1" t="n">
        <v>46249</v>
      </c>
      <c r="F126" t="inlineStr">
        <is>
          <t>HALLANDS LÄN</t>
        </is>
      </c>
      <c r="G126" t="inlineStr">
        <is>
          <t>FALKENBERG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71740-2021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46249</v>
      </c>
      <c r="F127" t="inlineStr">
        <is>
          <t>HALLANDS LÄN</t>
        </is>
      </c>
      <c r="G127" t="inlineStr">
        <is>
          <t>FALKENBERG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55876-2023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45239</v>
      </c>
      <c r="E128" s="1" t="n">
        <v>46249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46249</v>
      </c>
      <c r="F129" t="inlineStr">
        <is>
          <t>HALLANDS LÄN</t>
        </is>
      </c>
      <c r="G129" t="inlineStr">
        <is>
          <t>FALKENBERG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46249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44438</v>
      </c>
      <c r="E131" s="1" t="n">
        <v>46249</v>
      </c>
      <c r="F131" t="inlineStr">
        <is>
          <t>HALLANDS LÄN</t>
        </is>
      </c>
      <c r="G131" t="inlineStr">
        <is>
          <t>FALKENBERG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46249</v>
      </c>
      <c r="F132" t="inlineStr">
        <is>
          <t>HALLANDS LÄN</t>
        </is>
      </c>
      <c r="G132" t="inlineStr">
        <is>
          <t>FALKENBERG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25214-2024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46249</v>
      </c>
      <c r="F133" t="inlineStr">
        <is>
          <t>HALLANDS LÄN</t>
        </is>
      </c>
      <c r="G133" t="inlineStr">
        <is>
          <t>FALKENBERG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46249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46249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45419</v>
      </c>
      <c r="E136" s="1" t="n">
        <v>46249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53069-2021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44467</v>
      </c>
      <c r="E137" s="1" t="n">
        <v>46249</v>
      </c>
      <c r="F137" t="inlineStr">
        <is>
          <t>HALLANDS LÄN</t>
        </is>
      </c>
      <c r="G137" t="inlineStr">
        <is>
          <t>FALKENBERG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46249</v>
      </c>
      <c r="F138" t="inlineStr">
        <is>
          <t>HALLANDS LÄN</t>
        </is>
      </c>
      <c r="G138" t="inlineStr">
        <is>
          <t>FALKENBERG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45323</v>
      </c>
      <c r="E139" s="1" t="n">
        <v>46249</v>
      </c>
      <c r="F139" t="inlineStr">
        <is>
          <t>HALLANDS LÄN</t>
        </is>
      </c>
      <c r="G139" t="inlineStr">
        <is>
          <t>FALKENBERG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46249</v>
      </c>
      <c r="F140" t="inlineStr">
        <is>
          <t>HALLANDS LÄN</t>
        </is>
      </c>
      <c r="G140" t="inlineStr">
        <is>
          <t>FALKENBERG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46249</v>
      </c>
      <c r="F141" t="inlineStr">
        <is>
          <t>HALLANDS LÄN</t>
        </is>
      </c>
      <c r="G141" t="inlineStr">
        <is>
          <t>FALKENBERG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46249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71732-2021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44539</v>
      </c>
      <c r="E143" s="1" t="n">
        <v>46249</v>
      </c>
      <c r="F143" t="inlineStr">
        <is>
          <t>HALLANDS LÄN</t>
        </is>
      </c>
      <c r="G143" t="inlineStr">
        <is>
          <t>FALKENBERG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46249</v>
      </c>
      <c r="F144" t="inlineStr">
        <is>
          <t>HALLANDS LÄN</t>
        </is>
      </c>
      <c r="G144" t="inlineStr">
        <is>
          <t>FALKENBERG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46249</v>
      </c>
      <c r="F145" t="inlineStr">
        <is>
          <t>HALLANDS LÄN</t>
        </is>
      </c>
      <c r="G145" t="inlineStr">
        <is>
          <t>FALKENBERG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46249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46249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45627</v>
      </c>
      <c r="E148" s="1" t="n">
        <v>46249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46249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46249</v>
      </c>
      <c r="F150" t="inlineStr">
        <is>
          <t>HALLANDS LÄN</t>
        </is>
      </c>
      <c r="G150" t="inlineStr">
        <is>
          <t>FALKENBERG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46249</v>
      </c>
      <c r="F151" t="inlineStr">
        <is>
          <t>HALLANDS LÄN</t>
        </is>
      </c>
      <c r="G151" t="inlineStr">
        <is>
          <t>FALKENBERG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46249</v>
      </c>
      <c r="F152" t="inlineStr">
        <is>
          <t>HALLANDS LÄN</t>
        </is>
      </c>
      <c r="G152" t="inlineStr">
        <is>
          <t>FALKENBERG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46249</v>
      </c>
      <c r="F153" t="inlineStr">
        <is>
          <t>HALLANDS LÄN</t>
        </is>
      </c>
      <c r="G153" t="inlineStr">
        <is>
          <t>FALKENBERG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46249</v>
      </c>
      <c r="F154" t="inlineStr">
        <is>
          <t>HALLANDS LÄN</t>
        </is>
      </c>
      <c r="G154" t="inlineStr">
        <is>
          <t>FALKENBERG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45439</v>
      </c>
      <c r="E155" s="1" t="n">
        <v>46249</v>
      </c>
      <c r="F155" t="inlineStr">
        <is>
          <t>HALLANDS LÄN</t>
        </is>
      </c>
      <c r="G155" t="inlineStr">
        <is>
          <t>FALKENBERG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46249</v>
      </c>
      <c r="F156" t="inlineStr">
        <is>
          <t>HALLANDS LÄN</t>
        </is>
      </c>
      <c r="G156" t="inlineStr">
        <is>
          <t>FALKENBERG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45212</v>
      </c>
      <c r="E157" s="1" t="n">
        <v>46249</v>
      </c>
      <c r="F157" t="inlineStr">
        <is>
          <t>HALLANDS LÄN</t>
        </is>
      </c>
      <c r="G157" t="inlineStr">
        <is>
          <t>FALKENBERG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72277-2021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44545</v>
      </c>
      <c r="E158" s="1" t="n">
        <v>46249</v>
      </c>
      <c r="F158" t="inlineStr">
        <is>
          <t>HALLANDS LÄN</t>
        </is>
      </c>
      <c r="G158" t="inlineStr">
        <is>
          <t>FALKENBERG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46249</v>
      </c>
      <c r="F159" t="inlineStr">
        <is>
          <t>HALLANDS LÄN</t>
        </is>
      </c>
      <c r="G159" t="inlineStr">
        <is>
          <t>FALKENBERG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45274</v>
      </c>
      <c r="E160" s="1" t="n">
        <v>46249</v>
      </c>
      <c r="F160" t="inlineStr">
        <is>
          <t>HALLANDS LÄN</t>
        </is>
      </c>
      <c r="G160" t="inlineStr">
        <is>
          <t>FALKENBERG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46249</v>
      </c>
      <c r="F161" t="inlineStr">
        <is>
          <t>HALLANDS LÄN</t>
        </is>
      </c>
      <c r="G161" t="inlineStr">
        <is>
          <t>FALKENBERG</t>
        </is>
      </c>
      <c r="H161" t="inlineStr">
        <is>
          <t>Kommuner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46249</v>
      </c>
      <c r="F162" t="inlineStr">
        <is>
          <t>HALLANDS LÄN</t>
        </is>
      </c>
      <c r="G162" t="inlineStr">
        <is>
          <t>FALKENBERG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45300</v>
      </c>
      <c r="E163" s="1" t="n">
        <v>46249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45300</v>
      </c>
      <c r="E164" s="1" t="n">
        <v>46249</v>
      </c>
      <c r="F164" t="inlineStr">
        <is>
          <t>HALLANDS LÄN</t>
        </is>
      </c>
      <c r="G164" t="inlineStr">
        <is>
          <t>FALKENBERG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46249</v>
      </c>
      <c r="F165" t="inlineStr">
        <is>
          <t>HALLANDS LÄN</t>
        </is>
      </c>
      <c r="G165" t="inlineStr">
        <is>
          <t>FALKENBERG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44946</v>
      </c>
      <c r="E166" s="1" t="n">
        <v>46249</v>
      </c>
      <c r="F166" t="inlineStr">
        <is>
          <t>HALLANDS LÄN</t>
        </is>
      </c>
      <c r="G166" t="inlineStr">
        <is>
          <t>FALKENBERG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46249</v>
      </c>
      <c r="F167" t="inlineStr">
        <is>
          <t>HALLANDS LÄN</t>
        </is>
      </c>
      <c r="G167" t="inlineStr">
        <is>
          <t>FALKENBERG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45377</v>
      </c>
      <c r="E168" s="1" t="n">
        <v>46249</v>
      </c>
      <c r="F168" t="inlineStr">
        <is>
          <t>HALLANDS LÄN</t>
        </is>
      </c>
      <c r="G168" t="inlineStr">
        <is>
          <t>FALKENBERG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46249</v>
      </c>
      <c r="F169" t="inlineStr">
        <is>
          <t>HALLANDS LÄN</t>
        </is>
      </c>
      <c r="G169" t="inlineStr">
        <is>
          <t>FALKENBERG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41238-2023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46249</v>
      </c>
      <c r="F170" t="inlineStr">
        <is>
          <t>HALLANDS LÄN</t>
        </is>
      </c>
      <c r="G170" t="inlineStr">
        <is>
          <t>FALKENBERG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45829-2023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45195</v>
      </c>
      <c r="E171" s="1" t="n">
        <v>46249</v>
      </c>
      <c r="F171" t="inlineStr">
        <is>
          <t>HALLANDS LÄN</t>
        </is>
      </c>
      <c r="G171" t="inlineStr">
        <is>
          <t>FALKENBERG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46249</v>
      </c>
      <c r="F172" t="inlineStr">
        <is>
          <t>HALLANDS LÄN</t>
        </is>
      </c>
      <c r="G172" t="inlineStr">
        <is>
          <t>FALKENBERG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46249</v>
      </c>
      <c r="F173" t="inlineStr">
        <is>
          <t>HALLANDS LÄN</t>
        </is>
      </c>
      <c r="G173" t="inlineStr">
        <is>
          <t>FALKENBERG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46249</v>
      </c>
      <c r="F174" t="inlineStr">
        <is>
          <t>HALLANDS LÄN</t>
        </is>
      </c>
      <c r="G174" t="inlineStr">
        <is>
          <t>FALKENBERG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45400</v>
      </c>
      <c r="E175" s="1" t="n">
        <v>46249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45901</v>
      </c>
      <c r="E176" s="1" t="n">
        <v>46249</v>
      </c>
      <c r="F176" t="inlineStr">
        <is>
          <t>HALLANDS LÄN</t>
        </is>
      </c>
      <c r="G176" t="inlineStr">
        <is>
          <t>FALKENBERG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46249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46249</v>
      </c>
      <c r="F178" t="inlineStr">
        <is>
          <t>HALLANDS LÄN</t>
        </is>
      </c>
      <c r="G178" t="inlineStr">
        <is>
          <t>FALKENBERG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45644</v>
      </c>
      <c r="E179" s="1" t="n">
        <v>46249</v>
      </c>
      <c r="F179" t="inlineStr">
        <is>
          <t>HALLANDS LÄN</t>
        </is>
      </c>
      <c r="G179" t="inlineStr">
        <is>
          <t>FALKENBERG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46249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46249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45071</v>
      </c>
      <c r="E182" s="1" t="n">
        <v>46249</v>
      </c>
      <c r="F182" t="inlineStr">
        <is>
          <t>HALLANDS LÄN</t>
        </is>
      </c>
      <c r="G182" t="inlineStr">
        <is>
          <t>FALKENBERG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44897</v>
      </c>
      <c r="E183" s="1" t="n">
        <v>46249</v>
      </c>
      <c r="F183" t="inlineStr">
        <is>
          <t>HALLANDS LÄN</t>
        </is>
      </c>
      <c r="G183" t="inlineStr">
        <is>
          <t>FALKENBERG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46249</v>
      </c>
      <c r="F184" t="inlineStr">
        <is>
          <t>HALLANDS LÄN</t>
        </is>
      </c>
      <c r="G184" t="inlineStr">
        <is>
          <t>FALKENBERG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43913-2025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45914</v>
      </c>
      <c r="E185" s="1" t="n">
        <v>46249</v>
      </c>
      <c r="F185" t="inlineStr">
        <is>
          <t>HALLANDS LÄN</t>
        </is>
      </c>
      <c r="G185" t="inlineStr">
        <is>
          <t>FALKENBERG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45914</v>
      </c>
      <c r="E186" s="1" t="n">
        <v>46249</v>
      </c>
      <c r="F186" t="inlineStr">
        <is>
          <t>HALLANDS LÄN</t>
        </is>
      </c>
      <c r="G186" t="inlineStr">
        <is>
          <t>FALKENBERG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46249</v>
      </c>
      <c r="F187" t="inlineStr">
        <is>
          <t>HALLANDS LÄN</t>
        </is>
      </c>
      <c r="G187" t="inlineStr">
        <is>
          <t>FALKENBERG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46249</v>
      </c>
      <c r="F188" t="inlineStr">
        <is>
          <t>HALLANDS LÄN</t>
        </is>
      </c>
      <c r="G188" t="inlineStr">
        <is>
          <t>FALKENBERG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61546-2022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44916</v>
      </c>
      <c r="E189" s="1" t="n">
        <v>46249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46082</v>
      </c>
      <c r="E190" s="1" t="n">
        <v>46249</v>
      </c>
      <c r="F190" t="inlineStr">
        <is>
          <t>HALLANDS LÄN</t>
        </is>
      </c>
      <c r="G190" t="inlineStr">
        <is>
          <t>FALKENBERG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46065</v>
      </c>
      <c r="E191" s="1" t="n">
        <v>46249</v>
      </c>
      <c r="F191" t="inlineStr">
        <is>
          <t>HALLANDS LÄN</t>
        </is>
      </c>
      <c r="G191" t="inlineStr">
        <is>
          <t>FALKENBERG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44576</v>
      </c>
      <c r="E192" s="1" t="n">
        <v>46249</v>
      </c>
      <c r="F192" t="inlineStr">
        <is>
          <t>HALLANDS LÄN</t>
        </is>
      </c>
      <c r="G192" t="inlineStr">
        <is>
          <t>FALKENBERG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46249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46249</v>
      </c>
      <c r="F194" t="inlineStr">
        <is>
          <t>HALLANDS LÄN</t>
        </is>
      </c>
      <c r="G194" t="inlineStr">
        <is>
          <t>FALKENBERG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45923</v>
      </c>
      <c r="E195" s="1" t="n">
        <v>46249</v>
      </c>
      <c r="F195" t="inlineStr">
        <is>
          <t>HALLANDS LÄN</t>
        </is>
      </c>
      <c r="G195" t="inlineStr">
        <is>
          <t>FALKENBERG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46082</v>
      </c>
      <c r="E196" s="1" t="n">
        <v>46249</v>
      </c>
      <c r="F196" t="inlineStr">
        <is>
          <t>HALLANDS LÄN</t>
        </is>
      </c>
      <c r="G196" t="inlineStr">
        <is>
          <t>FALKENBERG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46249</v>
      </c>
      <c r="F197" t="inlineStr">
        <is>
          <t>HALLANDS LÄN</t>
        </is>
      </c>
      <c r="G197" t="inlineStr">
        <is>
          <t>FALKENBERG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58072-2022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46249</v>
      </c>
      <c r="F198" t="inlineStr">
        <is>
          <t>HALLANDS LÄN</t>
        </is>
      </c>
      <c r="G198" t="inlineStr">
        <is>
          <t>FALKENBERG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46249</v>
      </c>
      <c r="F199" t="inlineStr">
        <is>
          <t>HALLANDS LÄN</t>
        </is>
      </c>
      <c r="G199" t="inlineStr">
        <is>
          <t>FALKENBERG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46249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46249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46249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46249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46087</v>
      </c>
      <c r="E204" s="1" t="n">
        <v>46249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46249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46249</v>
      </c>
      <c r="F206" t="inlineStr">
        <is>
          <t>HALLANDS LÄN</t>
        </is>
      </c>
      <c r="G206" t="inlineStr">
        <is>
          <t>FALKENBERG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46249</v>
      </c>
      <c r="F207" t="inlineStr">
        <is>
          <t>HALLANDS LÄN</t>
        </is>
      </c>
      <c r="G207" t="inlineStr">
        <is>
          <t>FALKENBERG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44584</v>
      </c>
      <c r="E208" s="1" t="n">
        <v>46249</v>
      </c>
      <c r="F208" t="inlineStr">
        <is>
          <t>HALLANDS LÄN</t>
        </is>
      </c>
      <c r="G208" t="inlineStr">
        <is>
          <t>FALKENBERG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63034-2023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45272</v>
      </c>
      <c r="E209" s="1" t="n">
        <v>46249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46249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46249</v>
      </c>
      <c r="F211" t="inlineStr">
        <is>
          <t>HALLANDS LÄN</t>
        </is>
      </c>
      <c r="G211" t="inlineStr">
        <is>
          <t>FALKENBERG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46249</v>
      </c>
      <c r="F212" t="inlineStr">
        <is>
          <t>HALLANDS LÄN</t>
        </is>
      </c>
      <c r="G212" t="inlineStr">
        <is>
          <t>FALKENBERG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46249</v>
      </c>
      <c r="F213" t="inlineStr">
        <is>
          <t>HALLANDS LÄN</t>
        </is>
      </c>
      <c r="G213" t="inlineStr">
        <is>
          <t>FALKENBERG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46249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63033-2023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45272</v>
      </c>
      <c r="E215" s="1" t="n">
        <v>46249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46249</v>
      </c>
      <c r="F216" t="inlineStr">
        <is>
          <t>HALLANDS LÄN</t>
        </is>
      </c>
      <c r="G216" t="inlineStr">
        <is>
          <t>FALKENBERG</t>
        </is>
      </c>
      <c r="H216" t="inlineStr">
        <is>
          <t>Kyrkan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46249</v>
      </c>
      <c r="F217" t="inlineStr">
        <is>
          <t>HALLANDS LÄN</t>
        </is>
      </c>
      <c r="G217" t="inlineStr">
        <is>
          <t>FALKENBERG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46249</v>
      </c>
      <c r="F218" t="inlineStr">
        <is>
          <t>HALLANDS LÄN</t>
        </is>
      </c>
      <c r="G218" t="inlineStr">
        <is>
          <t>FALKENBERG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46249</v>
      </c>
      <c r="F219" t="inlineStr">
        <is>
          <t>HALLANDS LÄN</t>
        </is>
      </c>
      <c r="G219" t="inlineStr">
        <is>
          <t>FALKENBERG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59209-2023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45252</v>
      </c>
      <c r="E220" s="1" t="n">
        <v>46249</v>
      </c>
      <c r="F220" t="inlineStr">
        <is>
          <t>HALLANDS LÄN</t>
        </is>
      </c>
      <c r="G220" t="inlineStr">
        <is>
          <t>FALKENBERG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46249</v>
      </c>
      <c r="F221" t="inlineStr">
        <is>
          <t>HALLANDS LÄN</t>
        </is>
      </c>
      <c r="G221" t="inlineStr">
        <is>
          <t>FALKENBERG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44785</v>
      </c>
      <c r="E222" s="1" t="n">
        <v>46249</v>
      </c>
      <c r="F222" t="inlineStr">
        <is>
          <t>HALLANDS LÄN</t>
        </is>
      </c>
      <c r="G222" t="inlineStr">
        <is>
          <t>FALKENBERG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46249</v>
      </c>
      <c r="F223" t="inlineStr">
        <is>
          <t>HALLANDS LÄN</t>
        </is>
      </c>
      <c r="G223" t="inlineStr">
        <is>
          <t>FALKENBERG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46249</v>
      </c>
      <c r="F224" t="inlineStr">
        <is>
          <t>HALLANDS LÄN</t>
        </is>
      </c>
      <c r="G224" t="inlineStr">
        <is>
          <t>FALKENBERG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46249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46249</v>
      </c>
      <c r="F226" t="inlineStr">
        <is>
          <t>HALLANDS LÄN</t>
        </is>
      </c>
      <c r="G226" t="inlineStr">
        <is>
          <t>FALKENBERG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46249</v>
      </c>
      <c r="F227" t="inlineStr">
        <is>
          <t>HALLANDS LÄN</t>
        </is>
      </c>
      <c r="G227" t="inlineStr">
        <is>
          <t>FALKENBERG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46249</v>
      </c>
      <c r="F228" t="inlineStr">
        <is>
          <t>HALLANDS LÄN</t>
        </is>
      </c>
      <c r="G228" t="inlineStr">
        <is>
          <t>FALKENBERG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46249</v>
      </c>
      <c r="F229" t="inlineStr">
        <is>
          <t>HALLANDS LÄN</t>
        </is>
      </c>
      <c r="G229" t="inlineStr">
        <is>
          <t>FALKENBERG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45552</v>
      </c>
      <c r="E230" s="1" t="n">
        <v>46249</v>
      </c>
      <c r="F230" t="inlineStr">
        <is>
          <t>HALLANDS LÄN</t>
        </is>
      </c>
      <c r="G230" t="inlineStr">
        <is>
          <t>FALKENBERG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45355</v>
      </c>
      <c r="E231" s="1" t="n">
        <v>46249</v>
      </c>
      <c r="F231" t="inlineStr">
        <is>
          <t>HALLANDS LÄN</t>
        </is>
      </c>
      <c r="G231" t="inlineStr">
        <is>
          <t>FALKENBERG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46249</v>
      </c>
      <c r="F232" t="inlineStr">
        <is>
          <t>HALLANDS LÄN</t>
        </is>
      </c>
      <c r="G232" t="inlineStr">
        <is>
          <t>FALKENBERG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46097</v>
      </c>
      <c r="E233" s="1" t="n">
        <v>46249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46249</v>
      </c>
      <c r="F234" t="inlineStr">
        <is>
          <t>HALLANDS LÄN</t>
        </is>
      </c>
      <c r="G234" t="inlineStr">
        <is>
          <t>FALKENBERG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46249</v>
      </c>
      <c r="F235" t="inlineStr">
        <is>
          <t>HALLANDS LÄN</t>
        </is>
      </c>
      <c r="G235" t="inlineStr">
        <is>
          <t>FALKENBERG</t>
        </is>
      </c>
      <c r="I235" t="n">
        <v>29.4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46249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46249</v>
      </c>
      <c r="F237" t="inlineStr">
        <is>
          <t>HALLANDS LÄN</t>
        </is>
      </c>
      <c r="G237" t="inlineStr">
        <is>
          <t>FALKENBERG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46249</v>
      </c>
      <c r="F238" t="inlineStr">
        <is>
          <t>HALLANDS LÄN</t>
        </is>
      </c>
      <c r="G238" t="inlineStr">
        <is>
          <t>FALKENBERG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46249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46249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46249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46249</v>
      </c>
      <c r="F242" t="inlineStr">
        <is>
          <t>HALLANDS LÄN</t>
        </is>
      </c>
      <c r="G242" t="inlineStr">
        <is>
          <t>FALKENBERG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46249</v>
      </c>
      <c r="F243" t="inlineStr">
        <is>
          <t>HALLANDS LÄN</t>
        </is>
      </c>
      <c r="G243" t="inlineStr">
        <is>
          <t>FALKENBERG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45952</v>
      </c>
      <c r="E244" s="1" t="n">
        <v>46249</v>
      </c>
      <c r="F244" t="inlineStr">
        <is>
          <t>HALLANDS LÄN</t>
        </is>
      </c>
      <c r="G244" t="inlineStr">
        <is>
          <t>FALKENBERG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46249</v>
      </c>
      <c r="F245" t="inlineStr">
        <is>
          <t>HALLANDS LÄN</t>
        </is>
      </c>
      <c r="G245" t="inlineStr">
        <is>
          <t>FALKENBERG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45953</v>
      </c>
      <c r="E246" s="1" t="n">
        <v>46249</v>
      </c>
      <c r="F246" t="inlineStr">
        <is>
          <t>HALLANDS LÄN</t>
        </is>
      </c>
      <c r="G246" t="inlineStr">
        <is>
          <t>FALKENBERG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46249</v>
      </c>
      <c r="F247" t="inlineStr">
        <is>
          <t>HALLANDS LÄN</t>
        </is>
      </c>
      <c r="G247" t="inlineStr">
        <is>
          <t>FALKENBERG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44946</v>
      </c>
      <c r="E248" s="1" t="n">
        <v>46249</v>
      </c>
      <c r="F248" t="inlineStr">
        <is>
          <t>HALLANDS LÄN</t>
        </is>
      </c>
      <c r="G248" t="inlineStr">
        <is>
          <t>FALKENBERG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52428-2025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46249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45555</v>
      </c>
      <c r="E250" s="1" t="n">
        <v>46249</v>
      </c>
      <c r="F250" t="inlineStr">
        <is>
          <t>HALLANDS LÄN</t>
        </is>
      </c>
      <c r="G250" t="inlineStr">
        <is>
          <t>FALKENBERG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44600</v>
      </c>
      <c r="E251" s="1" t="n">
        <v>46249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46249</v>
      </c>
      <c r="F252" t="inlineStr">
        <is>
          <t>HALLANDS LÄN</t>
        </is>
      </c>
      <c r="G252" t="inlineStr">
        <is>
          <t>FALKENBERG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46249</v>
      </c>
      <c r="F253" t="inlineStr">
        <is>
          <t>HALLANDS LÄN</t>
        </is>
      </c>
      <c r="G253" t="inlineStr">
        <is>
          <t>FALKENBERG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46249</v>
      </c>
      <c r="F254" t="inlineStr">
        <is>
          <t>HALLANDS LÄN</t>
        </is>
      </c>
      <c r="G254" t="inlineStr">
        <is>
          <t>FALKENBERG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45575</v>
      </c>
      <c r="E255" s="1" t="n">
        <v>46249</v>
      </c>
      <c r="F255" t="inlineStr">
        <is>
          <t>HALLANDS LÄN</t>
        </is>
      </c>
      <c r="G255" t="inlineStr">
        <is>
          <t>FALKENBERG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46249</v>
      </c>
      <c r="F256" t="inlineStr">
        <is>
          <t>HALLANDS LÄN</t>
        </is>
      </c>
      <c r="G256" t="inlineStr">
        <is>
          <t>FALKENBERG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45959</v>
      </c>
      <c r="E257" s="1" t="n">
        <v>46249</v>
      </c>
      <c r="F257" t="inlineStr">
        <is>
          <t>HALLANDS LÄN</t>
        </is>
      </c>
      <c r="G257" t="inlineStr">
        <is>
          <t>FALKENBERG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46249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46249</v>
      </c>
      <c r="F259" t="inlineStr">
        <is>
          <t>HALLANDS LÄN</t>
        </is>
      </c>
      <c r="G259" t="inlineStr">
        <is>
          <t>FALKENBERG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46249</v>
      </c>
      <c r="F260" t="inlineStr">
        <is>
          <t>HALLANDS LÄN</t>
        </is>
      </c>
      <c r="G260" t="inlineStr">
        <is>
          <t>FALKENBERG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46249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46249</v>
      </c>
      <c r="F262" t="inlineStr">
        <is>
          <t>HALLANDS LÄN</t>
        </is>
      </c>
      <c r="G262" t="inlineStr">
        <is>
          <t>FALKENBERG</t>
        </is>
      </c>
      <c r="H262" t="inlineStr">
        <is>
          <t>Kyrkan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46249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46249</v>
      </c>
      <c r="F264" t="inlineStr">
        <is>
          <t>HALLANDS LÄN</t>
        </is>
      </c>
      <c r="G264" t="inlineStr">
        <is>
          <t>FALKENBERG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45960</v>
      </c>
      <c r="E265" s="1" t="n">
        <v>46249</v>
      </c>
      <c r="F265" t="inlineStr">
        <is>
          <t>HALLANDS LÄN</t>
        </is>
      </c>
      <c r="G265" t="inlineStr">
        <is>
          <t>FALKENBERG</t>
        </is>
      </c>
      <c r="H265" t="inlineStr">
        <is>
          <t>Kyrkan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53801-2025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45960</v>
      </c>
      <c r="E266" s="1" t="n">
        <v>46249</v>
      </c>
      <c r="F266" t="inlineStr">
        <is>
          <t>HALLANDS LÄN</t>
        </is>
      </c>
      <c r="G266" t="inlineStr">
        <is>
          <t>FALKENBERG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46249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46249</v>
      </c>
      <c r="F268" t="inlineStr">
        <is>
          <t>HALLANDS LÄN</t>
        </is>
      </c>
      <c r="G268" t="inlineStr">
        <is>
          <t>FALKENBERG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14753-2022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46249</v>
      </c>
      <c r="F269" t="inlineStr">
        <is>
          <t>HALLANDS LÄN</t>
        </is>
      </c>
      <c r="G269" t="inlineStr">
        <is>
          <t>FALKENBERG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44694</v>
      </c>
      <c r="E270" s="1" t="n">
        <v>46249</v>
      </c>
      <c r="F270" t="inlineStr">
        <is>
          <t>HALLANDS LÄN</t>
        </is>
      </c>
      <c r="G270" t="inlineStr">
        <is>
          <t>FALKENBERG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46249</v>
      </c>
      <c r="F271" t="inlineStr">
        <is>
          <t>HALLANDS LÄN</t>
        </is>
      </c>
      <c r="G271" t="inlineStr">
        <is>
          <t>FALKENBERG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46249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46249</v>
      </c>
      <c r="F273" t="inlineStr">
        <is>
          <t>HALLANDS LÄN</t>
        </is>
      </c>
      <c r="G273" t="inlineStr">
        <is>
          <t>FALKENBERG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46249</v>
      </c>
      <c r="F274" t="inlineStr">
        <is>
          <t>HALLANDS LÄN</t>
        </is>
      </c>
      <c r="G274" t="inlineStr">
        <is>
          <t>FALKENBERG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46249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46249</v>
      </c>
      <c r="F276" t="inlineStr">
        <is>
          <t>HALLANDS LÄN</t>
        </is>
      </c>
      <c r="G276" t="inlineStr">
        <is>
          <t>FALKENBERG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46249</v>
      </c>
      <c r="F277" t="inlineStr">
        <is>
          <t>HALLANDS LÄN</t>
        </is>
      </c>
      <c r="G277" t="inlineStr">
        <is>
          <t>FALKENBERG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46249</v>
      </c>
      <c r="F278" t="inlineStr">
        <is>
          <t>HALLANDS LÄN</t>
        </is>
      </c>
      <c r="G278" t="inlineStr">
        <is>
          <t>FALKENBERG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45618</v>
      </c>
      <c r="E279" s="1" t="n">
        <v>46249</v>
      </c>
      <c r="F279" t="inlineStr">
        <is>
          <t>HALLANDS LÄN</t>
        </is>
      </c>
      <c r="G279" t="inlineStr">
        <is>
          <t>FALKENBERG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46249</v>
      </c>
      <c r="F280" t="inlineStr">
        <is>
          <t>HALLANDS LÄN</t>
        </is>
      </c>
      <c r="G280" t="inlineStr">
        <is>
          <t>FALKENBERG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54434-2025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46249</v>
      </c>
      <c r="F281" t="inlineStr">
        <is>
          <t>HALLANDS LÄN</t>
        </is>
      </c>
      <c r="G281" t="inlineStr">
        <is>
          <t>FALKENBERG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46249</v>
      </c>
      <c r="F282" t="inlineStr">
        <is>
          <t>HALLANDS LÄN</t>
        </is>
      </c>
      <c r="G282" t="inlineStr">
        <is>
          <t>FALKENBERG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46249</v>
      </c>
      <c r="F283" t="inlineStr">
        <is>
          <t>HALLANDS LÄN</t>
        </is>
      </c>
      <c r="G283" t="inlineStr">
        <is>
          <t>FALKENBERG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46249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45326</v>
      </c>
      <c r="E285" s="1" t="n">
        <v>46249</v>
      </c>
      <c r="F285" t="inlineStr">
        <is>
          <t>HALLANDS LÄN</t>
        </is>
      </c>
      <c r="G285" t="inlineStr">
        <is>
          <t>FALKENBERG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44610</v>
      </c>
      <c r="E286" s="1" t="n">
        <v>46249</v>
      </c>
      <c r="F286" t="inlineStr">
        <is>
          <t>HALLANDS LÄN</t>
        </is>
      </c>
      <c r="G286" t="inlineStr">
        <is>
          <t>FALKENBERG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55141-2025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45968</v>
      </c>
      <c r="E287" s="1" t="n">
        <v>46249</v>
      </c>
      <c r="F287" t="inlineStr">
        <is>
          <t>HALLANDS LÄN</t>
        </is>
      </c>
      <c r="G287" t="inlineStr">
        <is>
          <t>FALKENBERG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45968</v>
      </c>
      <c r="E288" s="1" t="n">
        <v>46249</v>
      </c>
      <c r="F288" t="inlineStr">
        <is>
          <t>HALLANDS LÄN</t>
        </is>
      </c>
      <c r="G288" t="inlineStr">
        <is>
          <t>FALKENBERG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20543-2023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45055</v>
      </c>
      <c r="E289" s="1" t="n">
        <v>46249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20546-2023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45055</v>
      </c>
      <c r="E290" s="1" t="n">
        <v>46249</v>
      </c>
      <c r="F290" t="inlineStr">
        <is>
          <t>HALLANDS LÄN</t>
        </is>
      </c>
      <c r="G290" t="inlineStr">
        <is>
          <t>FALKENBERG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55535-2025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46249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44960-2024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45575</v>
      </c>
      <c r="E292" s="1" t="n">
        <v>46249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46249</v>
      </c>
      <c r="F293" t="inlineStr">
        <is>
          <t>HALLANDS LÄN</t>
        </is>
      </c>
      <c r="G293" t="inlineStr">
        <is>
          <t>FALKENBERG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46249</v>
      </c>
      <c r="F294" t="inlineStr">
        <is>
          <t>HALLANDS LÄN</t>
        </is>
      </c>
      <c r="G294" t="inlineStr">
        <is>
          <t>FALKENBERG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46249</v>
      </c>
      <c r="F295" t="inlineStr">
        <is>
          <t>HALLANDS LÄN</t>
        </is>
      </c>
      <c r="G295" t="inlineStr">
        <is>
          <t>FALKENBERG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46249</v>
      </c>
      <c r="F296" t="inlineStr">
        <is>
          <t>HALLANDS LÄN</t>
        </is>
      </c>
      <c r="G296" t="inlineStr">
        <is>
          <t>FALKENBERG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46249</v>
      </c>
      <c r="F297" t="inlineStr">
        <is>
          <t>HALLANDS LÄN</t>
        </is>
      </c>
      <c r="G297" t="inlineStr">
        <is>
          <t>FALKENBERG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46249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44627</v>
      </c>
      <c r="E299" s="1" t="n">
        <v>46249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45741</v>
      </c>
      <c r="E300" s="1" t="n">
        <v>46249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55949-2025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46249</v>
      </c>
      <c r="F301" t="inlineStr">
        <is>
          <t>HALLANDS LÄN</t>
        </is>
      </c>
      <c r="G301" t="inlineStr">
        <is>
          <t>FALKENBERG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46249</v>
      </c>
      <c r="F302" t="inlineStr">
        <is>
          <t>HALLANDS LÄN</t>
        </is>
      </c>
      <c r="G302" t="inlineStr">
        <is>
          <t>FALKENBERG</t>
        </is>
      </c>
      <c r="H302" t="inlineStr">
        <is>
          <t>Kyrkan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44887</v>
      </c>
      <c r="E303" s="1" t="n">
        <v>46249</v>
      </c>
      <c r="F303" t="inlineStr">
        <is>
          <t>HALLANDS LÄN</t>
        </is>
      </c>
      <c r="G303" t="inlineStr">
        <is>
          <t>FALKENBERG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46249</v>
      </c>
      <c r="F304" t="inlineStr">
        <is>
          <t>HALLANDS LÄN</t>
        </is>
      </c>
      <c r="G304" t="inlineStr">
        <is>
          <t>FALKENBERG</t>
        </is>
      </c>
      <c r="H304" t="inlineStr">
        <is>
          <t>Kyrkan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17484-2026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46120</v>
      </c>
      <c r="E305" s="1" t="n">
        <v>46249</v>
      </c>
      <c r="F305" t="inlineStr">
        <is>
          <t>HALLANDS LÄN</t>
        </is>
      </c>
      <c r="G305" t="inlineStr">
        <is>
          <t>FALKENBERG</t>
        </is>
      </c>
      <c r="H305" t="inlineStr">
        <is>
          <t>Övriga Aktiebolag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46249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19312-2022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44692</v>
      </c>
      <c r="E307" s="1" t="n">
        <v>46249</v>
      </c>
      <c r="F307" t="inlineStr">
        <is>
          <t>HALLANDS LÄN</t>
        </is>
      </c>
      <c r="G307" t="inlineStr">
        <is>
          <t>FALKENBERG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45560</v>
      </c>
      <c r="E308" s="1" t="n">
        <v>46249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46249</v>
      </c>
      <c r="F309" t="inlineStr">
        <is>
          <t>HALLANDS LÄN</t>
        </is>
      </c>
      <c r="G309" t="inlineStr">
        <is>
          <t>FALKENBERG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45581</v>
      </c>
      <c r="E310" s="1" t="n">
        <v>46249</v>
      </c>
      <c r="F310" t="inlineStr">
        <is>
          <t>HALLANDS LÄN</t>
        </is>
      </c>
      <c r="G310" t="inlineStr">
        <is>
          <t>FALKENBERG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41425-2023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46249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46249</v>
      </c>
      <c r="F312" t="inlineStr">
        <is>
          <t>HALLANDS LÄN</t>
        </is>
      </c>
      <c r="G312" t="inlineStr">
        <is>
          <t>FALKENBERG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46249</v>
      </c>
      <c r="F313" t="inlineStr">
        <is>
          <t>HALLANDS LÄN</t>
        </is>
      </c>
      <c r="G313" t="inlineStr">
        <is>
          <t>FALKENBERG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46249</v>
      </c>
      <c r="F314" t="inlineStr">
        <is>
          <t>HALLANDS LÄN</t>
        </is>
      </c>
      <c r="G314" t="inlineStr">
        <is>
          <t>FALKENBERG</t>
        </is>
      </c>
      <c r="H314" t="inlineStr">
        <is>
          <t>Kyrkan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46249</v>
      </c>
      <c r="F315" t="inlineStr">
        <is>
          <t>HALLANDS LÄN</t>
        </is>
      </c>
      <c r="G315" t="inlineStr">
        <is>
          <t>FALKENBERG</t>
        </is>
      </c>
      <c r="H315" t="inlineStr">
        <is>
          <t>Kyrkan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46249</v>
      </c>
      <c r="F316" t="inlineStr">
        <is>
          <t>HALLANDS LÄN</t>
        </is>
      </c>
      <c r="G316" t="inlineStr">
        <is>
          <t>FALKENBERG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46249</v>
      </c>
      <c r="F317" t="inlineStr">
        <is>
          <t>HALLANDS LÄN</t>
        </is>
      </c>
      <c r="G317" t="inlineStr">
        <is>
          <t>FALKENBERG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46249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46249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45580</v>
      </c>
      <c r="E320" s="1" t="n">
        <v>46249</v>
      </c>
      <c r="F320" t="inlineStr">
        <is>
          <t>HALLANDS LÄN</t>
        </is>
      </c>
      <c r="G320" t="inlineStr">
        <is>
          <t>FALKENBERG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45345</v>
      </c>
      <c r="E321" s="1" t="n">
        <v>46249</v>
      </c>
      <c r="F321" t="inlineStr">
        <is>
          <t>HALLANDS LÄN</t>
        </is>
      </c>
      <c r="G321" t="inlineStr">
        <is>
          <t>FALKENBERG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45667</v>
      </c>
      <c r="E322" s="1" t="n">
        <v>46249</v>
      </c>
      <c r="F322" t="inlineStr">
        <is>
          <t>HALLANDS LÄN</t>
        </is>
      </c>
      <c r="G322" t="inlineStr">
        <is>
          <t>FALKENBERG</t>
        </is>
      </c>
      <c r="H322" t="inlineStr">
        <is>
          <t>Kyrkan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46249</v>
      </c>
      <c r="F323" t="inlineStr">
        <is>
          <t>HALLANDS LÄN</t>
        </is>
      </c>
      <c r="G323" t="inlineStr">
        <is>
          <t>FALKENBERG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45058</v>
      </c>
      <c r="E324" s="1" t="n">
        <v>46249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46249</v>
      </c>
      <c r="F325" t="inlineStr">
        <is>
          <t>HALLANDS LÄN</t>
        </is>
      </c>
      <c r="G325" t="inlineStr">
        <is>
          <t>FALKENBERG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46249</v>
      </c>
      <c r="F326" t="inlineStr">
        <is>
          <t>HALLANDS LÄN</t>
        </is>
      </c>
      <c r="G326" t="inlineStr">
        <is>
          <t>FALKENBERG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46249</v>
      </c>
      <c r="F327" t="inlineStr">
        <is>
          <t>HALLANDS LÄN</t>
        </is>
      </c>
      <c r="G327" t="inlineStr">
        <is>
          <t>FALKENBERG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46249</v>
      </c>
      <c r="F328" t="inlineStr">
        <is>
          <t>HALLANDS LÄN</t>
        </is>
      </c>
      <c r="G328" t="inlineStr">
        <is>
          <t>FALKENBERG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46249</v>
      </c>
      <c r="F329" t="inlineStr">
        <is>
          <t>HALLANDS LÄN</t>
        </is>
      </c>
      <c r="G329" t="inlineStr">
        <is>
          <t>FALKENBERG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46249</v>
      </c>
      <c r="F330" t="inlineStr">
        <is>
          <t>HALLANDS LÄN</t>
        </is>
      </c>
      <c r="G330" t="inlineStr">
        <is>
          <t>FALKENBERG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45357</v>
      </c>
      <c r="E331" s="1" t="n">
        <v>46249</v>
      </c>
      <c r="F331" t="inlineStr">
        <is>
          <t>HALLANDS LÄN</t>
        </is>
      </c>
      <c r="G331" t="inlineStr">
        <is>
          <t>FALKENBERG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46249</v>
      </c>
      <c r="F332" t="inlineStr">
        <is>
          <t>HALLANDS LÄN</t>
        </is>
      </c>
      <c r="G332" t="inlineStr">
        <is>
          <t>FALKENBERG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46249</v>
      </c>
      <c r="F333" t="inlineStr">
        <is>
          <t>HALLANDS LÄN</t>
        </is>
      </c>
      <c r="G333" t="inlineStr">
        <is>
          <t>FALKENBERG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46249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42656-2024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45566</v>
      </c>
      <c r="E335" s="1" t="n">
        <v>46249</v>
      </c>
      <c r="F335" t="inlineStr">
        <is>
          <t>HALLANDS LÄN</t>
        </is>
      </c>
      <c r="G335" t="inlineStr">
        <is>
          <t>FALKENBERG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8350-2023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44977</v>
      </c>
      <c r="E336" s="1" t="n">
        <v>46249</v>
      </c>
      <c r="F336" t="inlineStr">
        <is>
          <t>HALLANDS LÄN</t>
        </is>
      </c>
      <c r="G336" t="inlineStr">
        <is>
          <t>FALKENBERG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46249</v>
      </c>
      <c r="F337" t="inlineStr">
        <is>
          <t>HALLANDS LÄN</t>
        </is>
      </c>
      <c r="G337" t="inlineStr">
        <is>
          <t>FALKENBERG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62131-2025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46249</v>
      </c>
      <c r="F338" t="inlineStr">
        <is>
          <t>HALLANDS LÄN</t>
        </is>
      </c>
      <c r="G338" t="inlineStr">
        <is>
          <t>FALKENBERG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37150-2022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44806</v>
      </c>
      <c r="E339" s="1" t="n">
        <v>46249</v>
      </c>
      <c r="F339" t="inlineStr">
        <is>
          <t>HALLANDS LÄN</t>
        </is>
      </c>
      <c r="G339" t="inlineStr">
        <is>
          <t>FALKENBERG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66135-2021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46249</v>
      </c>
      <c r="F340" t="inlineStr">
        <is>
          <t>HALLANDS LÄN</t>
        </is>
      </c>
      <c r="G340" t="inlineStr">
        <is>
          <t>FALKENBERG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46004</v>
      </c>
      <c r="E341" s="1" t="n">
        <v>46249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46249</v>
      </c>
      <c r="F342" t="inlineStr">
        <is>
          <t>HALLANDS LÄN</t>
        </is>
      </c>
      <c r="G342" t="inlineStr">
        <is>
          <t>FALKENBERG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43046-2023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45182</v>
      </c>
      <c r="E343" s="1" t="n">
        <v>46249</v>
      </c>
      <c r="F343" t="inlineStr">
        <is>
          <t>HALLANDS LÄN</t>
        </is>
      </c>
      <c r="G343" t="inlineStr">
        <is>
          <t>FALKENBERG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20044-2025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45772</v>
      </c>
      <c r="E344" s="1" t="n">
        <v>46249</v>
      </c>
      <c r="F344" t="inlineStr">
        <is>
          <t>HALLANDS LÄN</t>
        </is>
      </c>
      <c r="G344" t="inlineStr">
        <is>
          <t>FALKENBERG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45391</v>
      </c>
      <c r="E345" s="1" t="n">
        <v>46249</v>
      </c>
      <c r="F345" t="inlineStr">
        <is>
          <t>HALLANDS LÄN</t>
        </is>
      </c>
      <c r="G345" t="inlineStr">
        <is>
          <t>FALKENBERG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45381</v>
      </c>
      <c r="E346" s="1" t="n">
        <v>46249</v>
      </c>
      <c r="F346" t="inlineStr">
        <is>
          <t>HALLANDS LÄN</t>
        </is>
      </c>
      <c r="G346" t="inlineStr">
        <is>
          <t>FALKENBERG</t>
        </is>
      </c>
      <c r="I346" t="n">
        <v>14.4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45384</v>
      </c>
      <c r="E347" s="1" t="n">
        <v>46249</v>
      </c>
      <c r="F347" t="inlineStr">
        <is>
          <t>HALLANDS LÄN</t>
        </is>
      </c>
      <c r="G347" t="inlineStr">
        <is>
          <t>FALKENBERG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46249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8.4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46249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9999-2024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45363</v>
      </c>
      <c r="E350" s="1" t="n">
        <v>46249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45036</v>
      </c>
      <c r="E351" s="1" t="n">
        <v>46249</v>
      </c>
      <c r="F351" t="inlineStr">
        <is>
          <t>HALLANDS LÄN</t>
        </is>
      </c>
      <c r="G351" t="inlineStr">
        <is>
          <t>FALKENBERG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45582</v>
      </c>
      <c r="E352" s="1" t="n">
        <v>46249</v>
      </c>
      <c r="F352" t="inlineStr">
        <is>
          <t>HALLANDS LÄN</t>
        </is>
      </c>
      <c r="G352" t="inlineStr">
        <is>
          <t>FALKENBERG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43131-2021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44431</v>
      </c>
      <c r="E353" s="1" t="n">
        <v>46249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46249</v>
      </c>
      <c r="F354" t="inlineStr">
        <is>
          <t>HALLANDS LÄN</t>
        </is>
      </c>
      <c r="G354" t="inlineStr">
        <is>
          <t>FALKENBERG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45595</v>
      </c>
      <c r="E355" s="1" t="n">
        <v>46249</v>
      </c>
      <c r="F355" t="inlineStr">
        <is>
          <t>HALLANDS LÄN</t>
        </is>
      </c>
      <c r="G355" t="inlineStr">
        <is>
          <t>FALKENBERG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20353-2024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45435</v>
      </c>
      <c r="E356" s="1" t="n">
        <v>46249</v>
      </c>
      <c r="F356" t="inlineStr">
        <is>
          <t>HALLANDS LÄN</t>
        </is>
      </c>
      <c r="G356" t="inlineStr">
        <is>
          <t>FALKENBERG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44984</v>
      </c>
      <c r="E357" s="1" t="n">
        <v>46249</v>
      </c>
      <c r="F357" t="inlineStr">
        <is>
          <t>HALLANDS LÄN</t>
        </is>
      </c>
      <c r="G357" t="inlineStr">
        <is>
          <t>FALKENBERG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45435</v>
      </c>
      <c r="E358" s="1" t="n">
        <v>46249</v>
      </c>
      <c r="F358" t="inlineStr">
        <is>
          <t>HALLANDS LÄN</t>
        </is>
      </c>
      <c r="G358" t="inlineStr">
        <is>
          <t>FALKENBERG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46249</v>
      </c>
      <c r="F359" t="inlineStr">
        <is>
          <t>HALLANDS LÄN</t>
        </is>
      </c>
      <c r="G359" t="inlineStr">
        <is>
          <t>FALKENBERG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45174</v>
      </c>
      <c r="E360" s="1" t="n">
        <v>46249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36431-2023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45152</v>
      </c>
      <c r="E361" s="1" t="n">
        <v>46249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44986</v>
      </c>
      <c r="E362" s="1" t="n">
        <v>46249</v>
      </c>
      <c r="F362" t="inlineStr">
        <is>
          <t>HALLANDS LÄN</t>
        </is>
      </c>
      <c r="G362" t="inlineStr">
        <is>
          <t>FALKENBERG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46249</v>
      </c>
      <c r="F363" t="inlineStr">
        <is>
          <t>HALLANDS LÄN</t>
        </is>
      </c>
      <c r="G363" t="inlineStr">
        <is>
          <t>FALKENBERG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46249</v>
      </c>
      <c r="F364" t="inlineStr">
        <is>
          <t>HALLANDS LÄN</t>
        </is>
      </c>
      <c r="G364" t="inlineStr">
        <is>
          <t>FALKENBERG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46249</v>
      </c>
      <c r="F365" t="inlineStr">
        <is>
          <t>HALLANDS LÄN</t>
        </is>
      </c>
      <c r="G365" t="inlineStr">
        <is>
          <t>FALKENBERG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45076</v>
      </c>
      <c r="E366" s="1" t="n">
        <v>46249</v>
      </c>
      <c r="F366" t="inlineStr">
        <is>
          <t>HALLANDS LÄN</t>
        </is>
      </c>
      <c r="G366" t="inlineStr">
        <is>
          <t>FALKENBERG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47021-2022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44852</v>
      </c>
      <c r="E367" s="1" t="n">
        <v>46249</v>
      </c>
      <c r="F367" t="inlineStr">
        <is>
          <t>HALLANDS LÄN</t>
        </is>
      </c>
      <c r="G367" t="inlineStr">
        <is>
          <t>FALKENBERG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67454-2021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46249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30603-2025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46249</v>
      </c>
      <c r="F369" t="inlineStr">
        <is>
          <t>HALLANDS LÄN</t>
        </is>
      </c>
      <c r="G369" t="inlineStr">
        <is>
          <t>FALKENBERG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46249</v>
      </c>
      <c r="F370" t="inlineStr">
        <is>
          <t>HALLANDS LÄN</t>
        </is>
      </c>
      <c r="G370" t="inlineStr">
        <is>
          <t>FALKENBERG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45390</v>
      </c>
      <c r="E371" s="1" t="n">
        <v>46249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46249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19060-2025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46249</v>
      </c>
      <c r="F373" t="inlineStr">
        <is>
          <t>HALLANDS LÄN</t>
        </is>
      </c>
      <c r="G373" t="inlineStr">
        <is>
          <t>FALKENBERG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35498-2025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46249</v>
      </c>
      <c r="F374" t="inlineStr">
        <is>
          <t>HALLANDS LÄN</t>
        </is>
      </c>
      <c r="G374" t="inlineStr">
        <is>
          <t>FALKENBERG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45709</v>
      </c>
      <c r="E375" s="1" t="n">
        <v>46249</v>
      </c>
      <c r="F375" t="inlineStr">
        <is>
          <t>HALLANDS LÄN</t>
        </is>
      </c>
      <c r="G375" t="inlineStr">
        <is>
          <t>FALKENBERG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46035</v>
      </c>
      <c r="E376" s="1" t="n">
        <v>46249</v>
      </c>
      <c r="F376" t="inlineStr">
        <is>
          <t>HALLANDS LÄN</t>
        </is>
      </c>
      <c r="G376" t="inlineStr">
        <is>
          <t>FALKENBERG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46249</v>
      </c>
      <c r="F377" t="inlineStr">
        <is>
          <t>HALLANDS LÄN</t>
        </is>
      </c>
      <c r="G377" t="inlineStr">
        <is>
          <t>FALKENBERG</t>
        </is>
      </c>
      <c r="H377" t="inlineStr">
        <is>
          <t>Naturvårdsverket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46249</v>
      </c>
      <c r="F378" t="inlineStr">
        <is>
          <t>HALLANDS LÄN</t>
        </is>
      </c>
      <c r="G378" t="inlineStr">
        <is>
          <t>FALKENBERG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46249</v>
      </c>
      <c r="F379" t="inlineStr">
        <is>
          <t>HALLANDS LÄN</t>
        </is>
      </c>
      <c r="G379" t="inlineStr">
        <is>
          <t>FALKENBERG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46249</v>
      </c>
      <c r="F380" t="inlineStr">
        <is>
          <t>HALLANDS LÄN</t>
        </is>
      </c>
      <c r="G380" t="inlineStr">
        <is>
          <t>FALKENBERG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38462-2024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45546</v>
      </c>
      <c r="E381" s="1" t="n">
        <v>46249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46249</v>
      </c>
      <c r="F382" t="inlineStr">
        <is>
          <t>HALLANDS LÄN</t>
        </is>
      </c>
      <c r="G382" t="inlineStr">
        <is>
          <t>FALKENBERG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46042</v>
      </c>
      <c r="E383" s="1" t="n">
        <v>46249</v>
      </c>
      <c r="F383" t="inlineStr">
        <is>
          <t>HALLANDS LÄN</t>
        </is>
      </c>
      <c r="G383" t="inlineStr">
        <is>
          <t>FALKENBERG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46249</v>
      </c>
      <c r="F384" t="inlineStr">
        <is>
          <t>HALLANDS LÄN</t>
        </is>
      </c>
      <c r="G384" t="inlineStr">
        <is>
          <t>FALKENBERG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46249</v>
      </c>
      <c r="F385" t="inlineStr">
        <is>
          <t>HALLANDS LÄN</t>
        </is>
      </c>
      <c r="G385" t="inlineStr">
        <is>
          <t>FALKENBERG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46249</v>
      </c>
      <c r="F386" t="inlineStr">
        <is>
          <t>HALLANDS LÄN</t>
        </is>
      </c>
      <c r="G386" t="inlineStr">
        <is>
          <t>FALKENBERG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46249</v>
      </c>
      <c r="F387" t="inlineStr">
        <is>
          <t>HALLANDS LÄN</t>
        </is>
      </c>
      <c r="G387" t="inlineStr">
        <is>
          <t>FALKENBERG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52783-2023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46249</v>
      </c>
      <c r="F388" t="inlineStr">
        <is>
          <t>HALLANDS LÄN</t>
        </is>
      </c>
      <c r="G388" t="inlineStr">
        <is>
          <t>FALKENBERG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45323</v>
      </c>
      <c r="E389" s="1" t="n">
        <v>46249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45624</v>
      </c>
      <c r="E390" s="1" t="n">
        <v>46249</v>
      </c>
      <c r="F390" t="inlineStr">
        <is>
          <t>HALLANDS LÄN</t>
        </is>
      </c>
      <c r="G390" t="inlineStr">
        <is>
          <t>FALKENBERG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41526-2022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44827</v>
      </c>
      <c r="E391" s="1" t="n">
        <v>46249</v>
      </c>
      <c r="F391" t="inlineStr">
        <is>
          <t>HALLANDS LÄN</t>
        </is>
      </c>
      <c r="G391" t="inlineStr">
        <is>
          <t>FALKENBERG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14331-2022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44652</v>
      </c>
      <c r="E392" s="1" t="n">
        <v>46249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45681</v>
      </c>
      <c r="E393" s="1" t="n">
        <v>46249</v>
      </c>
      <c r="F393" t="inlineStr">
        <is>
          <t>HALLANDS LÄN</t>
        </is>
      </c>
      <c r="G393" t="inlineStr">
        <is>
          <t>FALKENBERG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45682</v>
      </c>
      <c r="E394" s="1" t="n">
        <v>46249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45682</v>
      </c>
      <c r="E395" s="1" t="n">
        <v>46249</v>
      </c>
      <c r="F395" t="inlineStr">
        <is>
          <t>HALLANDS LÄN</t>
        </is>
      </c>
      <c r="G395" t="inlineStr">
        <is>
          <t>FALKENBERG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46249</v>
      </c>
      <c r="F396" t="inlineStr">
        <is>
          <t>HALLANDS LÄN</t>
        </is>
      </c>
      <c r="G396" t="inlineStr">
        <is>
          <t>FALKENBERG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46249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45673</v>
      </c>
      <c r="E398" s="1" t="n">
        <v>46249</v>
      </c>
      <c r="F398" t="inlineStr">
        <is>
          <t>HALLANDS LÄN</t>
        </is>
      </c>
      <c r="G398" t="inlineStr">
        <is>
          <t>FALKENBERG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45321</v>
      </c>
      <c r="E399" s="1" t="n">
        <v>46249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48222-2023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45205</v>
      </c>
      <c r="E400" s="1" t="n">
        <v>46249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46249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46249</v>
      </c>
      <c r="F402" t="inlineStr">
        <is>
          <t>HALLANDS LÄN</t>
        </is>
      </c>
      <c r="G402" t="inlineStr">
        <is>
          <t>FALKENBERG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46249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45357</v>
      </c>
      <c r="E404" s="1" t="n">
        <v>46249</v>
      </c>
      <c r="F404" t="inlineStr">
        <is>
          <t>HALLANDS LÄN</t>
        </is>
      </c>
      <c r="G404" t="inlineStr">
        <is>
          <t>FALKENBERG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46249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45127</v>
      </c>
      <c r="E406" s="1" t="n">
        <v>46249</v>
      </c>
      <c r="F406" t="inlineStr">
        <is>
          <t>HALLANDS LÄN</t>
        </is>
      </c>
      <c r="G406" t="inlineStr">
        <is>
          <t>FALKENBERG</t>
        </is>
      </c>
      <c r="H406" t="inlineStr">
        <is>
          <t>Kommuner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45842</v>
      </c>
      <c r="E407" s="1" t="n">
        <v>46249</v>
      </c>
      <c r="F407" t="inlineStr">
        <is>
          <t>HALLANDS LÄN</t>
        </is>
      </c>
      <c r="G407" t="inlineStr">
        <is>
          <t>FALKENBERG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41891-2024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46249</v>
      </c>
      <c r="F408" t="inlineStr">
        <is>
          <t>HALLANDS LÄN</t>
        </is>
      </c>
      <c r="G408" t="inlineStr">
        <is>
          <t>FALKENBERG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44985</v>
      </c>
      <c r="E409" s="1" t="n">
        <v>46249</v>
      </c>
      <c r="F409" t="inlineStr">
        <is>
          <t>HALLANDS LÄN</t>
        </is>
      </c>
      <c r="G409" t="inlineStr">
        <is>
          <t>FALKENBERG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49126-2021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44453</v>
      </c>
      <c r="E410" s="1" t="n">
        <v>46249</v>
      </c>
      <c r="F410" t="inlineStr">
        <is>
          <t>HALLANDS LÄN</t>
        </is>
      </c>
      <c r="G410" t="inlineStr">
        <is>
          <t>FALKENBERG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39074-2024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46249</v>
      </c>
      <c r="F411" t="inlineStr">
        <is>
          <t>HALLANDS LÄN</t>
        </is>
      </c>
      <c r="G411" t="inlineStr">
        <is>
          <t>FALKENBERG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44740</v>
      </c>
      <c r="E412" s="1" t="n">
        <v>46249</v>
      </c>
      <c r="F412" t="inlineStr">
        <is>
          <t>HALLANDS LÄN</t>
        </is>
      </c>
      <c r="G412" t="inlineStr">
        <is>
          <t>FALKENBERG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44740</v>
      </c>
      <c r="E413" s="1" t="n">
        <v>46249</v>
      </c>
      <c r="F413" t="inlineStr">
        <is>
          <t>HALLANDS LÄN</t>
        </is>
      </c>
      <c r="G413" t="inlineStr">
        <is>
          <t>FALKENBERG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54606-2025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45966</v>
      </c>
      <c r="E414" s="1" t="n">
        <v>46249</v>
      </c>
      <c r="F414" t="inlineStr">
        <is>
          <t>HALLANDS LÄN</t>
        </is>
      </c>
      <c r="G414" t="inlineStr">
        <is>
          <t>FALKENBERG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46249</v>
      </c>
      <c r="F415" t="inlineStr">
        <is>
          <t>HALLANDS LÄN</t>
        </is>
      </c>
      <c r="G415" t="inlineStr">
        <is>
          <t>FALKENBERG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57283-2023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46249</v>
      </c>
      <c r="F416" t="inlineStr">
        <is>
          <t>HALLANDS LÄN</t>
        </is>
      </c>
      <c r="G416" t="inlineStr">
        <is>
          <t>FALKENBERG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18813-2023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45044</v>
      </c>
      <c r="E417" s="1" t="n">
        <v>46249</v>
      </c>
      <c r="F417" t="inlineStr">
        <is>
          <t>HALLANDS LÄN</t>
        </is>
      </c>
      <c r="G417" t="inlineStr">
        <is>
          <t>FALKENBERG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11574-2022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44631</v>
      </c>
      <c r="E418" s="1" t="n">
        <v>46249</v>
      </c>
      <c r="F418" t="inlineStr">
        <is>
          <t>HALLANDS LÄN</t>
        </is>
      </c>
      <c r="G418" t="inlineStr">
        <is>
          <t>FALKENBERG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60239-2022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44910</v>
      </c>
      <c r="E419" s="1" t="n">
        <v>46249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44910</v>
      </c>
      <c r="E420" s="1" t="n">
        <v>46249</v>
      </c>
      <c r="F420" t="inlineStr">
        <is>
          <t>HALLANDS LÄN</t>
        </is>
      </c>
      <c r="G420" t="inlineStr">
        <is>
          <t>FALKENBERG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18773-2022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44689</v>
      </c>
      <c r="E421" s="1" t="n">
        <v>46249</v>
      </c>
      <c r="F421" t="inlineStr">
        <is>
          <t>HALLANDS LÄN</t>
        </is>
      </c>
      <c r="G421" t="inlineStr">
        <is>
          <t>FALKENBERG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21915-2023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45068</v>
      </c>
      <c r="E422" s="1" t="n">
        <v>46249</v>
      </c>
      <c r="F422" t="inlineStr">
        <is>
          <t>HALLANDS LÄN</t>
        </is>
      </c>
      <c r="G422" t="inlineStr">
        <is>
          <t>FALKENBERG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45735</v>
      </c>
      <c r="E423" s="1" t="n">
        <v>46249</v>
      </c>
      <c r="F423" t="inlineStr">
        <is>
          <t>HALLANDS LÄN</t>
        </is>
      </c>
      <c r="G423" t="inlineStr">
        <is>
          <t>FALKENBERG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18710-2022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44687</v>
      </c>
      <c r="E424" s="1" t="n">
        <v>46249</v>
      </c>
      <c r="F424" t="inlineStr">
        <is>
          <t>HALLANDS LÄN</t>
        </is>
      </c>
      <c r="G424" t="inlineStr">
        <is>
          <t>FALKENBERG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45702</v>
      </c>
      <c r="E425" s="1" t="n">
        <v>46249</v>
      </c>
      <c r="F425" t="inlineStr">
        <is>
          <t>HALLANDS LÄN</t>
        </is>
      </c>
      <c r="G425" t="inlineStr">
        <is>
          <t>FALKENBERG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46249</v>
      </c>
      <c r="F426" t="inlineStr">
        <is>
          <t>HALLANDS LÄN</t>
        </is>
      </c>
      <c r="G426" t="inlineStr">
        <is>
          <t>FALKENBERG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46070</v>
      </c>
      <c r="E427" s="1" t="n">
        <v>46249</v>
      </c>
      <c r="F427" t="inlineStr">
        <is>
          <t>HALLANDS LÄN</t>
        </is>
      </c>
      <c r="G427" t="inlineStr">
        <is>
          <t>FALKENBERG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46249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46249</v>
      </c>
      <c r="F429" t="inlineStr">
        <is>
          <t>HALLANDS LÄN</t>
        </is>
      </c>
      <c r="G429" t="inlineStr">
        <is>
          <t>FALKENBERG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46249</v>
      </c>
      <c r="F430" t="inlineStr">
        <is>
          <t>HALLANDS LÄN</t>
        </is>
      </c>
      <c r="G430" t="inlineStr">
        <is>
          <t>FALKENBERG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57433-2024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46249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56925-2024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45628</v>
      </c>
      <c r="E432" s="1" t="n">
        <v>46249</v>
      </c>
      <c r="F432" t="inlineStr">
        <is>
          <t>HALLANDS LÄN</t>
        </is>
      </c>
      <c r="G432" t="inlineStr">
        <is>
          <t>FALKENBERG</t>
        </is>
      </c>
      <c r="H432" t="inlineStr">
        <is>
          <t>Kommuner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54170-2023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45232</v>
      </c>
      <c r="E433" s="1" t="n">
        <v>46249</v>
      </c>
      <c r="F433" t="inlineStr">
        <is>
          <t>HALLANDS LÄN</t>
        </is>
      </c>
      <c r="G433" t="inlineStr">
        <is>
          <t>FALKENBERG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56451-2022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44893</v>
      </c>
      <c r="E434" s="1" t="n">
        <v>46249</v>
      </c>
      <c r="F434" t="inlineStr">
        <is>
          <t>HALLANDS LÄN</t>
        </is>
      </c>
      <c r="G434" t="inlineStr">
        <is>
          <t>FALKENBERG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45001</v>
      </c>
      <c r="E435" s="1" t="n">
        <v>46249</v>
      </c>
      <c r="F435" t="inlineStr">
        <is>
          <t>HALLANDS LÄN</t>
        </is>
      </c>
      <c r="G435" t="inlineStr">
        <is>
          <t>FALKENBERG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12803-2022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44642</v>
      </c>
      <c r="E436" s="1" t="n">
        <v>46249</v>
      </c>
      <c r="F436" t="inlineStr">
        <is>
          <t>HALLANDS LÄN</t>
        </is>
      </c>
      <c r="G436" t="inlineStr">
        <is>
          <t>FALKENBERG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46249</v>
      </c>
      <c r="F437" t="inlineStr">
        <is>
          <t>HALLANDS LÄN</t>
        </is>
      </c>
      <c r="G437" t="inlineStr">
        <is>
          <t>FALKENBERG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46249</v>
      </c>
      <c r="F438" t="inlineStr">
        <is>
          <t>HALLANDS LÄN</t>
        </is>
      </c>
      <c r="G438" t="inlineStr">
        <is>
          <t>FALKENBERG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45351</v>
      </c>
      <c r="E439" s="1" t="n">
        <v>46249</v>
      </c>
      <c r="F439" t="inlineStr">
        <is>
          <t>HALLANDS LÄN</t>
        </is>
      </c>
      <c r="G439" t="inlineStr">
        <is>
          <t>FALKENBERG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46249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4326-2024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46249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45751</v>
      </c>
      <c r="E442" s="1" t="n">
        <v>46249</v>
      </c>
      <c r="F442" t="inlineStr">
        <is>
          <t>HALLANDS LÄN</t>
        </is>
      </c>
      <c r="G442" t="inlineStr">
        <is>
          <t>FALKENBERG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46249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32402-2023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46249</v>
      </c>
      <c r="F444" t="inlineStr">
        <is>
          <t>HALLANDS LÄN</t>
        </is>
      </c>
      <c r="G444" t="inlineStr">
        <is>
          <t>FALKENBERG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46249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46249</v>
      </c>
      <c r="F446" t="inlineStr">
        <is>
          <t>HALLANDS LÄN</t>
        </is>
      </c>
      <c r="G446" t="inlineStr">
        <is>
          <t>FALKENBERG</t>
        </is>
      </c>
      <c r="I446" t="n">
        <v>10.8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46077</v>
      </c>
      <c r="E447" s="1" t="n">
        <v>46249</v>
      </c>
      <c r="F447" t="inlineStr">
        <is>
          <t>HALLANDS LÄN</t>
        </is>
      </c>
      <c r="G447" t="inlineStr">
        <is>
          <t>FALKENBERG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44986</v>
      </c>
      <c r="E448" s="1" t="n">
        <v>46249</v>
      </c>
      <c r="F448" t="inlineStr">
        <is>
          <t>HALLANDS LÄN</t>
        </is>
      </c>
      <c r="G448" t="inlineStr">
        <is>
          <t>FALKENBERG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46249</v>
      </c>
      <c r="F449" t="inlineStr">
        <is>
          <t>HALLANDS LÄN</t>
        </is>
      </c>
      <c r="G449" t="inlineStr">
        <is>
          <t>FALKENBERG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20912-2026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46142</v>
      </c>
      <c r="E450" s="1" t="n">
        <v>46249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45681</v>
      </c>
      <c r="E451" s="1" t="n">
        <v>46249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55257-2022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44882</v>
      </c>
      <c r="E452" s="1" t="n">
        <v>46249</v>
      </c>
      <c r="F452" t="inlineStr">
        <is>
          <t>HALLANDS LÄN</t>
        </is>
      </c>
      <c r="G452" t="inlineStr">
        <is>
          <t>FALKENBERG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21008-2026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46142</v>
      </c>
      <c r="E453" s="1" t="n">
        <v>46249</v>
      </c>
      <c r="F453" t="inlineStr">
        <is>
          <t>HALLANDS LÄN</t>
        </is>
      </c>
      <c r="G453" t="inlineStr">
        <is>
          <t>FALKENBERG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53939-2021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44469</v>
      </c>
      <c r="E454" s="1" t="n">
        <v>46249</v>
      </c>
      <c r="F454" t="inlineStr">
        <is>
          <t>HALLANDS LÄN</t>
        </is>
      </c>
      <c r="G454" t="inlineStr">
        <is>
          <t>FALKENBERG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44963</v>
      </c>
      <c r="E455" s="1" t="n">
        <v>46249</v>
      </c>
      <c r="F455" t="inlineStr">
        <is>
          <t>HALLANDS LÄN</t>
        </is>
      </c>
      <c r="G455" t="inlineStr">
        <is>
          <t>FALKENBERG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44963</v>
      </c>
      <c r="E456" s="1" t="n">
        <v>46249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58939-2022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44903</v>
      </c>
      <c r="E457" s="1" t="n">
        <v>46249</v>
      </c>
      <c r="F457" t="inlineStr">
        <is>
          <t>HALLANDS LÄN</t>
        </is>
      </c>
      <c r="G457" t="inlineStr">
        <is>
          <t>FALKENBERG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45456</v>
      </c>
      <c r="E458" s="1" t="n">
        <v>46249</v>
      </c>
      <c r="F458" t="inlineStr">
        <is>
          <t>HALLANDS LÄN</t>
        </is>
      </c>
      <c r="G458" t="inlineStr">
        <is>
          <t>FALKENBERG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44957</v>
      </c>
      <c r="E459" s="1" t="n">
        <v>46249</v>
      </c>
      <c r="F459" t="inlineStr">
        <is>
          <t>HALLANDS LÄN</t>
        </is>
      </c>
      <c r="G459" t="inlineStr">
        <is>
          <t>FALKENBERG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51391-2023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45219</v>
      </c>
      <c r="E460" s="1" t="n">
        <v>46249</v>
      </c>
      <c r="F460" t="inlineStr">
        <is>
          <t>HALLANDS LÄN</t>
        </is>
      </c>
      <c r="G460" t="inlineStr">
        <is>
          <t>FALKENBERG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70848-2021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44538</v>
      </c>
      <c r="E461" s="1" t="n">
        <v>46249</v>
      </c>
      <c r="F461" t="inlineStr">
        <is>
          <t>HALLANDS LÄN</t>
        </is>
      </c>
      <c r="G461" t="inlineStr">
        <is>
          <t>FALKENBERG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46249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46249</v>
      </c>
      <c r="F463" t="inlineStr">
        <is>
          <t>HALLANDS LÄN</t>
        </is>
      </c>
      <c r="G463" t="inlineStr">
        <is>
          <t>FALKENBERG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44957</v>
      </c>
      <c r="E464" s="1" t="n">
        <v>46249</v>
      </c>
      <c r="F464" t="inlineStr">
        <is>
          <t>HALLANDS LÄN</t>
        </is>
      </c>
      <c r="G464" t="inlineStr">
        <is>
          <t>FALKENBERG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45350</v>
      </c>
      <c r="E465" s="1" t="n">
        <v>46249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64404-2023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45280</v>
      </c>
      <c r="E466" s="1" t="n">
        <v>46249</v>
      </c>
      <c r="F466" t="inlineStr">
        <is>
          <t>HALLANDS LÄN</t>
        </is>
      </c>
      <c r="G466" t="inlineStr">
        <is>
          <t>FALKENBERG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72470-2021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44545</v>
      </c>
      <c r="E467" s="1" t="n">
        <v>46249</v>
      </c>
      <c r="F467" t="inlineStr">
        <is>
          <t>HALLANDS LÄN</t>
        </is>
      </c>
      <c r="G467" t="inlineStr">
        <is>
          <t>FALKENBERG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46249</v>
      </c>
      <c r="F468" t="inlineStr">
        <is>
          <t>HALLANDS LÄN</t>
        </is>
      </c>
      <c r="G468" t="inlineStr">
        <is>
          <t>FALKENBERG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10244-2023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44986</v>
      </c>
      <c r="E469" s="1" t="n">
        <v>46249</v>
      </c>
      <c r="F469" t="inlineStr">
        <is>
          <t>HALLANDS LÄN</t>
        </is>
      </c>
      <c r="G469" t="inlineStr">
        <is>
          <t>FALKENBERG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45001</v>
      </c>
      <c r="E470" s="1" t="n">
        <v>46249</v>
      </c>
      <c r="F470" t="inlineStr">
        <is>
          <t>HALLANDS LÄN</t>
        </is>
      </c>
      <c r="G470" t="inlineStr">
        <is>
          <t>FALKENBERG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45597</v>
      </c>
      <c r="E471" s="1" t="n">
        <v>46249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31568-2023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46249</v>
      </c>
      <c r="F472" t="inlineStr">
        <is>
          <t>HALLANDS LÄN</t>
        </is>
      </c>
      <c r="G472" t="inlineStr">
        <is>
          <t>FALKENBERG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45635</v>
      </c>
      <c r="E473" s="1" t="n">
        <v>46249</v>
      </c>
      <c r="F473" t="inlineStr">
        <is>
          <t>HALLANDS LÄN</t>
        </is>
      </c>
      <c r="G473" t="inlineStr">
        <is>
          <t>FALKENBERG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45616</v>
      </c>
      <c r="E474" s="1" t="n">
        <v>46249</v>
      </c>
      <c r="F474" t="inlineStr">
        <is>
          <t>HALLANDS LÄN</t>
        </is>
      </c>
      <c r="G474" t="inlineStr">
        <is>
          <t>FALKENBERG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45667</v>
      </c>
      <c r="E475" s="1" t="n">
        <v>46249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48200-2025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45933</v>
      </c>
      <c r="E476" s="1" t="n">
        <v>46249</v>
      </c>
      <c r="F476" t="inlineStr">
        <is>
          <t>HALLANDS LÄN</t>
        </is>
      </c>
      <c r="G476" t="inlineStr">
        <is>
          <t>FALKENBERG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53478-2025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45959</v>
      </c>
      <c r="E477" s="1" t="n">
        <v>46249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46249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12470-2023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44999</v>
      </c>
      <c r="E479" s="1" t="n">
        <v>46249</v>
      </c>
      <c r="F479" t="inlineStr">
        <is>
          <t>HALLANDS LÄN</t>
        </is>
      </c>
      <c r="G479" t="inlineStr">
        <is>
          <t>FALKENBERG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45127</v>
      </c>
      <c r="E480" s="1" t="n">
        <v>46249</v>
      </c>
      <c r="F480" t="inlineStr">
        <is>
          <t>HALLANDS LÄN</t>
        </is>
      </c>
      <c r="G480" t="inlineStr">
        <is>
          <t>FALKENBERG</t>
        </is>
      </c>
      <c r="H480" t="inlineStr">
        <is>
          <t>Kommuner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45131</v>
      </c>
      <c r="E481" s="1" t="n">
        <v>46249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34969-2023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45142</v>
      </c>
      <c r="E482" s="1" t="n">
        <v>46249</v>
      </c>
      <c r="F482" t="inlineStr">
        <is>
          <t>HALLANDS LÄN</t>
        </is>
      </c>
      <c r="G482" t="inlineStr">
        <is>
          <t>FALKENBERG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52852-2023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45226</v>
      </c>
      <c r="E483" s="1" t="n">
        <v>46249</v>
      </c>
      <c r="F483" t="inlineStr">
        <is>
          <t>HALLANDS LÄN</t>
        </is>
      </c>
      <c r="G483" t="inlineStr">
        <is>
          <t>FALKENBERG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55878-2023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45239</v>
      </c>
      <c r="E484" s="1" t="n">
        <v>46249</v>
      </c>
      <c r="F484" t="inlineStr">
        <is>
          <t>HALLANDS LÄN</t>
        </is>
      </c>
      <c r="G484" t="inlineStr">
        <is>
          <t>FALKENBERG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3743-2025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46249</v>
      </c>
      <c r="F485" t="inlineStr">
        <is>
          <t>HALLANDS LÄN</t>
        </is>
      </c>
      <c r="G485" t="inlineStr">
        <is>
          <t>FALKENBERG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46249</v>
      </c>
      <c r="F486" t="inlineStr">
        <is>
          <t>HALLANDS LÄN</t>
        </is>
      </c>
      <c r="G486" t="inlineStr">
        <is>
          <t>FALKENBERG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29142-2024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45482</v>
      </c>
      <c r="E487" s="1" t="n">
        <v>46249</v>
      </c>
      <c r="F487" t="inlineStr">
        <is>
          <t>HALLANDS LÄN</t>
        </is>
      </c>
      <c r="G487" t="inlineStr">
        <is>
          <t>FALKENBERG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46249</v>
      </c>
      <c r="F488" t="inlineStr">
        <is>
          <t>HALLANDS LÄN</t>
        </is>
      </c>
      <c r="G488" t="inlineStr">
        <is>
          <t>FALKENBERG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10268-2022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44622</v>
      </c>
      <c r="E489" s="1" t="n">
        <v>46249</v>
      </c>
      <c r="F489" t="inlineStr">
        <is>
          <t>HALLANDS LÄN</t>
        </is>
      </c>
      <c r="G489" t="inlineStr">
        <is>
          <t>FALKENBERG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46249</v>
      </c>
      <c r="F490" t="inlineStr">
        <is>
          <t>HALLANDS LÄN</t>
        </is>
      </c>
      <c r="G490" t="inlineStr">
        <is>
          <t>FALKENBERG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18544-2024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45425</v>
      </c>
      <c r="E491" s="1" t="n">
        <v>46249</v>
      </c>
      <c r="F491" t="inlineStr">
        <is>
          <t>HALLANDS LÄN</t>
        </is>
      </c>
      <c r="G491" t="inlineStr">
        <is>
          <t>FALKENBERG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45474</v>
      </c>
      <c r="E492" s="1" t="n">
        <v>46249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67744-2021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44525</v>
      </c>
      <c r="E493" s="1" t="n">
        <v>46249</v>
      </c>
      <c r="F493" t="inlineStr">
        <is>
          <t>HALLANDS LÄN</t>
        </is>
      </c>
      <c r="G493" t="inlineStr">
        <is>
          <t>FALKENBERG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46249</v>
      </c>
      <c r="F494" t="inlineStr">
        <is>
          <t>HALLANDS LÄN</t>
        </is>
      </c>
      <c r="G494" t="inlineStr">
        <is>
          <t>FALKENBERG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23675-2026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46164</v>
      </c>
      <c r="E495" s="1" t="n">
        <v>46249</v>
      </c>
      <c r="F495" t="inlineStr">
        <is>
          <t>HALLANDS LÄN</t>
        </is>
      </c>
      <c r="G495" t="inlineStr">
        <is>
          <t>FALKENBERG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46162</v>
      </c>
      <c r="E496" s="1" t="n">
        <v>46249</v>
      </c>
      <c r="F496" t="inlineStr">
        <is>
          <t>HALLANDS LÄN</t>
        </is>
      </c>
      <c r="G496" t="inlineStr">
        <is>
          <t>FALKENBERG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45777</v>
      </c>
      <c r="E497" s="1" t="n">
        <v>46249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46249</v>
      </c>
      <c r="F498" t="inlineStr">
        <is>
          <t>HALLANDS LÄN</t>
        </is>
      </c>
      <c r="G498" t="inlineStr">
        <is>
          <t>FALKENBERG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71844-2021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44543</v>
      </c>
      <c r="E499" s="1" t="n">
        <v>46249</v>
      </c>
      <c r="F499" t="inlineStr">
        <is>
          <t>HALLANDS LÄN</t>
        </is>
      </c>
      <c r="G499" t="inlineStr">
        <is>
          <t>FALKENBERG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45019</v>
      </c>
      <c r="E500" s="1" t="n">
        <v>46249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46249</v>
      </c>
      <c r="F501" t="inlineStr">
        <is>
          <t>HALLANDS LÄN</t>
        </is>
      </c>
      <c r="G501" t="inlineStr">
        <is>
          <t>FALKENBERG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45782</v>
      </c>
      <c r="E502" s="1" t="n">
        <v>46249</v>
      </c>
      <c r="F502" t="inlineStr">
        <is>
          <t>HALLANDS LÄN</t>
        </is>
      </c>
      <c r="G502" t="inlineStr">
        <is>
          <t>FALKENBERG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23708-2026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46249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46249</v>
      </c>
      <c r="F504" t="inlineStr">
        <is>
          <t>HALLANDS LÄN</t>
        </is>
      </c>
      <c r="G504" t="inlineStr">
        <is>
          <t>FALKENBERG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44827</v>
      </c>
      <c r="E505" s="1" t="n">
        <v>46249</v>
      </c>
      <c r="F505" t="inlineStr">
        <is>
          <t>HALLANDS LÄN</t>
        </is>
      </c>
      <c r="G505" t="inlineStr">
        <is>
          <t>FALKENBERG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45138</v>
      </c>
      <c r="E506" s="1" t="n">
        <v>46249</v>
      </c>
      <c r="F506" t="inlineStr">
        <is>
          <t>HALLANDS LÄN</t>
        </is>
      </c>
      <c r="G506" t="inlineStr">
        <is>
          <t>FALKENBERG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45923</v>
      </c>
      <c r="E507" s="1" t="n">
        <v>46249</v>
      </c>
      <c r="F507" t="inlineStr">
        <is>
          <t>HALLANDS LÄN</t>
        </is>
      </c>
      <c r="G507" t="inlineStr">
        <is>
          <t>FALKENBERG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23829-2026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46166</v>
      </c>
      <c r="E508" s="1" t="n">
        <v>46249</v>
      </c>
      <c r="F508" t="inlineStr">
        <is>
          <t>HALLANDS LÄN</t>
        </is>
      </c>
      <c r="G508" t="inlineStr">
        <is>
          <t>FALKENBERG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12300-2026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46249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46249</v>
      </c>
      <c r="F510" t="inlineStr">
        <is>
          <t>HALLANDS LÄN</t>
        </is>
      </c>
      <c r="G510" t="inlineStr">
        <is>
          <t>FALKENBERG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46365-2022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44848</v>
      </c>
      <c r="E511" s="1" t="n">
        <v>46249</v>
      </c>
      <c r="F511" t="inlineStr">
        <is>
          <t>HALLANDS LÄN</t>
        </is>
      </c>
      <c r="G511" t="inlineStr">
        <is>
          <t>FALKENBERG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44574</v>
      </c>
      <c r="E512" s="1" t="n">
        <v>46249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42658-2024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45566</v>
      </c>
      <c r="E513" s="1" t="n">
        <v>46249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42798-2024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46249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46249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46249</v>
      </c>
      <c r="F516" t="inlineStr">
        <is>
          <t>HALLANDS LÄN</t>
        </is>
      </c>
      <c r="G516" t="inlineStr">
        <is>
          <t>FALKENBERG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45785</v>
      </c>
      <c r="E517" s="1" t="n">
        <v>46249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30790-2026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46212</v>
      </c>
      <c r="E518" s="1" t="n">
        <v>46249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30715-2026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46211</v>
      </c>
      <c r="E519" s="1" t="n">
        <v>46249</v>
      </c>
      <c r="F519" t="inlineStr">
        <is>
          <t>HALLANDS LÄN</t>
        </is>
      </c>
      <c r="G519" t="inlineStr">
        <is>
          <t>FALKENBERG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46249</v>
      </c>
      <c r="F520" t="inlineStr">
        <is>
          <t>HALLANDS LÄN</t>
        </is>
      </c>
      <c r="G520" t="inlineStr">
        <is>
          <t>FALKENBERG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45048</v>
      </c>
      <c r="E521" s="1" t="n">
        <v>46249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30783-2026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46249</v>
      </c>
      <c r="F522" t="inlineStr">
        <is>
          <t>HALLANDS LÄN</t>
        </is>
      </c>
      <c r="G522" t="inlineStr">
        <is>
          <t>FALKENBERG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14505-2025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45741</v>
      </c>
      <c r="E523" s="1" t="n">
        <v>46249</v>
      </c>
      <c r="F523" t="inlineStr">
        <is>
          <t>HALLANDS LÄN</t>
        </is>
      </c>
      <c r="G523" t="inlineStr">
        <is>
          <t>FALKENBERG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21925-2024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45443</v>
      </c>
      <c r="E524" s="1" t="n">
        <v>46249</v>
      </c>
      <c r="F524" t="inlineStr">
        <is>
          <t>HALLANDS LÄN</t>
        </is>
      </c>
      <c r="G524" t="inlineStr">
        <is>
          <t>FALKENBERG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46249</v>
      </c>
      <c r="F525" t="inlineStr">
        <is>
          <t>HALLANDS LÄN</t>
        </is>
      </c>
      <c r="G525" t="inlineStr">
        <is>
          <t>FALKENBERG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45562</v>
      </c>
      <c r="E526" s="1" t="n">
        <v>46249</v>
      </c>
      <c r="F526" t="inlineStr">
        <is>
          <t>HALLANDS LÄN</t>
        </is>
      </c>
      <c r="G526" t="inlineStr">
        <is>
          <t>FALKENBERG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45582</v>
      </c>
      <c r="E527" s="1" t="n">
        <v>46249</v>
      </c>
      <c r="F527" t="inlineStr">
        <is>
          <t>HALLANDS LÄN</t>
        </is>
      </c>
      <c r="G527" t="inlineStr">
        <is>
          <t>FALKENBERG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46249</v>
      </c>
      <c r="F528" t="inlineStr">
        <is>
          <t>HALLANDS LÄN</t>
        </is>
      </c>
      <c r="G528" t="inlineStr">
        <is>
          <t>FALKENBERG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45328</v>
      </c>
      <c r="E529" s="1" t="n">
        <v>46249</v>
      </c>
      <c r="F529" t="inlineStr">
        <is>
          <t>HALLANDS LÄN</t>
        </is>
      </c>
      <c r="G529" t="inlineStr">
        <is>
          <t>FALKENBERG</t>
        </is>
      </c>
      <c r="H529" t="inlineStr">
        <is>
          <t>Kyrkan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24804-2026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46172</v>
      </c>
      <c r="E530" s="1" t="n">
        <v>46249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46249</v>
      </c>
      <c r="F531" t="inlineStr">
        <is>
          <t>HALLANDS LÄN</t>
        </is>
      </c>
      <c r="G531" t="inlineStr">
        <is>
          <t>FALKENBERG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45686</v>
      </c>
      <c r="E532" s="1" t="n">
        <v>46249</v>
      </c>
      <c r="F532" t="inlineStr">
        <is>
          <t>HALLANDS LÄN</t>
        </is>
      </c>
      <c r="G532" t="inlineStr">
        <is>
          <t>FALKENBERG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44986</v>
      </c>
      <c r="E533" s="1" t="n">
        <v>46249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46249</v>
      </c>
      <c r="F534" t="inlineStr">
        <is>
          <t>HALLANDS LÄN</t>
        </is>
      </c>
      <c r="G534" t="inlineStr">
        <is>
          <t>FALKENBERG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45666</v>
      </c>
      <c r="E535" s="1" t="n">
        <v>46249</v>
      </c>
      <c r="F535" t="inlineStr">
        <is>
          <t>HALLANDS LÄN</t>
        </is>
      </c>
      <c r="G535" t="inlineStr">
        <is>
          <t>FALKENBERG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15767-2025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45748</v>
      </c>
      <c r="E536" s="1" t="n">
        <v>46249</v>
      </c>
      <c r="F536" t="inlineStr">
        <is>
          <t>HALLANDS LÄN</t>
        </is>
      </c>
      <c r="G536" t="inlineStr">
        <is>
          <t>FALKENBERG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10270-2022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44622</v>
      </c>
      <c r="E537" s="1" t="n">
        <v>46249</v>
      </c>
      <c r="F537" t="inlineStr">
        <is>
          <t>HALLANDS LÄN</t>
        </is>
      </c>
      <c r="G537" t="inlineStr">
        <is>
          <t>FALKENBERG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9270-2025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45714</v>
      </c>
      <c r="E538" s="1" t="n">
        <v>46249</v>
      </c>
      <c r="F538" t="inlineStr">
        <is>
          <t>HALLANDS LÄN</t>
        </is>
      </c>
      <c r="G538" t="inlineStr">
        <is>
          <t>FALKENBERG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45481</v>
      </c>
      <c r="E539" s="1" t="n">
        <v>46249</v>
      </c>
      <c r="F539" t="inlineStr">
        <is>
          <t>HALLANDS LÄN</t>
        </is>
      </c>
      <c r="G539" t="inlineStr">
        <is>
          <t>FALKENBERG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46217</v>
      </c>
      <c r="E540" s="1" t="n">
        <v>46249</v>
      </c>
      <c r="F540" t="inlineStr">
        <is>
          <t>HALLANDS LÄN</t>
        </is>
      </c>
      <c r="G540" t="inlineStr">
        <is>
          <t>FALKENBERG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12076-2024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45377</v>
      </c>
      <c r="E541" s="1" t="n">
        <v>46249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39570-2024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46249</v>
      </c>
      <c r="F542" t="inlineStr">
        <is>
          <t>HALLANDS LÄN</t>
        </is>
      </c>
      <c r="G542" t="inlineStr">
        <is>
          <t>FALKENBERG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45799</v>
      </c>
      <c r="E543" s="1" t="n">
        <v>46249</v>
      </c>
      <c r="F543" t="inlineStr">
        <is>
          <t>HALLANDS LÄN</t>
        </is>
      </c>
      <c r="G543" t="inlineStr">
        <is>
          <t>FALKENBERG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45799</v>
      </c>
      <c r="E544" s="1" t="n">
        <v>46249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24887-2025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46249</v>
      </c>
      <c r="F545" t="inlineStr">
        <is>
          <t>HALLANDS LÄN</t>
        </is>
      </c>
      <c r="G545" t="inlineStr">
        <is>
          <t>FALKENBERG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45678</v>
      </c>
      <c r="E546" s="1" t="n">
        <v>46249</v>
      </c>
      <c r="F546" t="inlineStr">
        <is>
          <t>HALLANDS LÄN</t>
        </is>
      </c>
      <c r="G546" t="inlineStr">
        <is>
          <t>FALKENBERG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15427-2024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45401</v>
      </c>
      <c r="E547" s="1" t="n">
        <v>46249</v>
      </c>
      <c r="F547" t="inlineStr">
        <is>
          <t>HALLANDS LÄN</t>
        </is>
      </c>
      <c r="G547" t="inlineStr">
        <is>
          <t>FALKENBERG</t>
        </is>
      </c>
      <c r="H547" t="inlineStr">
        <is>
          <t>Kyrkan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62534-2025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46007</v>
      </c>
      <c r="E548" s="1" t="n">
        <v>46249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45714</v>
      </c>
      <c r="E549" s="1" t="n">
        <v>46249</v>
      </c>
      <c r="F549" t="inlineStr">
        <is>
          <t>HALLANDS LÄN</t>
        </is>
      </c>
      <c r="G549" t="inlineStr">
        <is>
          <t>FALKENBERG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47698-2024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45588</v>
      </c>
      <c r="E550" s="1" t="n">
        <v>46249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45667</v>
      </c>
      <c r="E551" s="1" t="n">
        <v>46249</v>
      </c>
      <c r="F551" t="inlineStr">
        <is>
          <t>HALLANDS LÄN</t>
        </is>
      </c>
      <c r="G551" t="inlineStr">
        <is>
          <t>FALKENBERG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46249</v>
      </c>
      <c r="F552" t="inlineStr">
        <is>
          <t>HALLANDS LÄN</t>
        </is>
      </c>
      <c r="G552" t="inlineStr">
        <is>
          <t>FALKENBERG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45190</v>
      </c>
      <c r="E553" s="1" t="n">
        <v>46249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73973-2021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44554</v>
      </c>
      <c r="E554" s="1" t="n">
        <v>46249</v>
      </c>
      <c r="F554" t="inlineStr">
        <is>
          <t>HALLANDS LÄN</t>
        </is>
      </c>
      <c r="G554" t="inlineStr">
        <is>
          <t>FALKENBERG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45810</v>
      </c>
      <c r="E555" s="1" t="n">
        <v>46249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46249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50647-2024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45601</v>
      </c>
      <c r="E557" s="1" t="n">
        <v>46249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46249</v>
      </c>
      <c r="F558" t="inlineStr">
        <is>
          <t>HALLANDS LÄN</t>
        </is>
      </c>
      <c r="G558" t="inlineStr">
        <is>
          <t>FALKENBERG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46249</v>
      </c>
      <c r="F559" t="inlineStr">
        <is>
          <t>HALLANDS LÄN</t>
        </is>
      </c>
      <c r="G559" t="inlineStr">
        <is>
          <t>FALKENBERG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46249</v>
      </c>
      <c r="F560" t="inlineStr">
        <is>
          <t>HALLANDS LÄN</t>
        </is>
      </c>
      <c r="G560" t="inlineStr">
        <is>
          <t>FALKENBERG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26368-2026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46182</v>
      </c>
      <c r="E561" s="1" t="n">
        <v>46249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25852-2024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45467</v>
      </c>
      <c r="E562" s="1" t="n">
        <v>46249</v>
      </c>
      <c r="F562" t="inlineStr">
        <is>
          <t>HALLANDS LÄN</t>
        </is>
      </c>
      <c r="G562" t="inlineStr">
        <is>
          <t>FALKENBERG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53772-2024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45615</v>
      </c>
      <c r="E563" s="1" t="n">
        <v>46249</v>
      </c>
      <c r="F563" t="inlineStr">
        <is>
          <t>HALLANDS LÄN</t>
        </is>
      </c>
      <c r="G563" t="inlineStr">
        <is>
          <t>FALKENBERG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45712</v>
      </c>
      <c r="E564" s="1" t="n">
        <v>46249</v>
      </c>
      <c r="F564" t="inlineStr">
        <is>
          <t>HALLANDS LÄN</t>
        </is>
      </c>
      <c r="G564" t="inlineStr">
        <is>
          <t>FALKENBERG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46225</v>
      </c>
      <c r="E565" s="1" t="n">
        <v>46249</v>
      </c>
      <c r="F565" t="inlineStr">
        <is>
          <t>HALLANDS LÄN</t>
        </is>
      </c>
      <c r="G565" t="inlineStr">
        <is>
          <t>FALKENBERG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46249</v>
      </c>
      <c r="F566" t="inlineStr">
        <is>
          <t>HALLANDS LÄN</t>
        </is>
      </c>
      <c r="G566" t="inlineStr">
        <is>
          <t>FALKENBERG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46249</v>
      </c>
      <c r="F567" t="inlineStr">
        <is>
          <t>HALLANDS LÄN</t>
        </is>
      </c>
      <c r="G567" t="inlineStr">
        <is>
          <t>FALKENBERG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60472-2024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45643</v>
      </c>
      <c r="E568" s="1" t="n">
        <v>46249</v>
      </c>
      <c r="F568" t="inlineStr">
        <is>
          <t>HALLANDS LÄN</t>
        </is>
      </c>
      <c r="G568" t="inlineStr">
        <is>
          <t>FALKENBERG</t>
        </is>
      </c>
      <c r="H568" t="inlineStr">
        <is>
          <t>Kyrkan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26770-2026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46184</v>
      </c>
      <c r="E569" s="1" t="n">
        <v>46249</v>
      </c>
      <c r="F569" t="inlineStr">
        <is>
          <t>HALLANDS LÄN</t>
        </is>
      </c>
      <c r="G569" t="inlineStr">
        <is>
          <t>FALKENBERG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45821</v>
      </c>
      <c r="E570" s="1" t="n">
        <v>46249</v>
      </c>
      <c r="F570" t="inlineStr">
        <is>
          <t>HALLANDS LÄN</t>
        </is>
      </c>
      <c r="G570" t="inlineStr">
        <is>
          <t>FALKENBERG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43045-2023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45182</v>
      </c>
      <c r="E571" s="1" t="n">
        <v>46249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16405-2025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45751</v>
      </c>
      <c r="E572" s="1" t="n">
        <v>46249</v>
      </c>
      <c r="F572" t="inlineStr">
        <is>
          <t>HALLANDS LÄN</t>
        </is>
      </c>
      <c r="G572" t="inlineStr">
        <is>
          <t>FALKENBERG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45187</v>
      </c>
      <c r="E573" s="1" t="n">
        <v>46249</v>
      </c>
      <c r="F573" t="inlineStr">
        <is>
          <t>HALLANDS LÄN</t>
        </is>
      </c>
      <c r="G573" t="inlineStr">
        <is>
          <t>FALKENBERG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15492-2024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45401</v>
      </c>
      <c r="E574" s="1" t="n">
        <v>46249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45834</v>
      </c>
      <c r="E575" s="1" t="n">
        <v>46249</v>
      </c>
      <c r="F575" t="inlineStr">
        <is>
          <t>HALLANDS LÄN</t>
        </is>
      </c>
      <c r="G575" t="inlineStr">
        <is>
          <t>FALKENBERG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31684-2025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45834</v>
      </c>
      <c r="E576" s="1" t="n">
        <v>46249</v>
      </c>
      <c r="F576" t="inlineStr">
        <is>
          <t>HALLANDS LÄN</t>
        </is>
      </c>
      <c r="G576" t="inlineStr">
        <is>
          <t>FALKENBERG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31690-2025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45834</v>
      </c>
      <c r="E577" s="1" t="n">
        <v>46249</v>
      </c>
      <c r="F577" t="inlineStr">
        <is>
          <t>HALLANDS LÄN</t>
        </is>
      </c>
      <c r="G577" t="inlineStr">
        <is>
          <t>FALKENBERG</t>
        </is>
      </c>
      <c r="I577" t="n">
        <v>8.300000000000001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45838</v>
      </c>
      <c r="E578" s="1" t="n">
        <v>46249</v>
      </c>
      <c r="F578" t="inlineStr">
        <is>
          <t>HALLANDS LÄN</t>
        </is>
      </c>
      <c r="G578" t="inlineStr">
        <is>
          <t>FALKENBERG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45838</v>
      </c>
      <c r="E579" s="1" t="n">
        <v>46249</v>
      </c>
      <c r="F579" t="inlineStr">
        <is>
          <t>HALLANDS LÄN</t>
        </is>
      </c>
      <c r="G579" t="inlineStr">
        <is>
          <t>FALKENBERG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32336-2025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45836</v>
      </c>
      <c r="E580" s="1" t="n">
        <v>46249</v>
      </c>
      <c r="F580" t="inlineStr">
        <is>
          <t>HALLANDS LÄN</t>
        </is>
      </c>
      <c r="G580" t="inlineStr">
        <is>
          <t>FALKENBERG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46249</v>
      </c>
      <c r="F581" t="inlineStr">
        <is>
          <t>HALLANDS LÄN</t>
        </is>
      </c>
      <c r="G581" t="inlineStr">
        <is>
          <t>FALKENBERG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46249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32519-2025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45838</v>
      </c>
      <c r="E583" s="1" t="n">
        <v>46249</v>
      </c>
      <c r="F583" t="inlineStr">
        <is>
          <t>HALLANDS LÄN</t>
        </is>
      </c>
      <c r="G583" t="inlineStr">
        <is>
          <t>FALKENBERG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32398-2025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46249</v>
      </c>
      <c r="F584" t="inlineStr">
        <is>
          <t>HALLANDS LÄN</t>
        </is>
      </c>
      <c r="G584" t="inlineStr">
        <is>
          <t>FALKENBERG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32399-2025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46249</v>
      </c>
      <c r="F585" t="inlineStr">
        <is>
          <t>HALLANDS LÄN</t>
        </is>
      </c>
      <c r="G585" t="inlineStr">
        <is>
          <t>FALKENBERG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17373-2024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45414</v>
      </c>
      <c r="E586" s="1" t="n">
        <v>46249</v>
      </c>
      <c r="F586" t="inlineStr">
        <is>
          <t>HALLANDS LÄN</t>
        </is>
      </c>
      <c r="G586" t="inlineStr">
        <is>
          <t>FALKENBERG</t>
        </is>
      </c>
      <c r="H586" t="inlineStr">
        <is>
          <t>Kyrkan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44811</v>
      </c>
      <c r="E587" s="1" t="n">
        <v>46249</v>
      </c>
      <c r="F587" t="inlineStr">
        <is>
          <t>HALLANDS LÄN</t>
        </is>
      </c>
      <c r="G587" t="inlineStr">
        <is>
          <t>FALKENBERG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44087-2023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46249</v>
      </c>
      <c r="F588" t="inlineStr">
        <is>
          <t>HALLANDS LÄN</t>
        </is>
      </c>
      <c r="G588" t="inlineStr">
        <is>
          <t>FALKENBERG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46249</v>
      </c>
      <c r="F589" t="inlineStr">
        <is>
          <t>HALLANDS LÄN</t>
        </is>
      </c>
      <c r="G589" t="inlineStr">
        <is>
          <t>FALKENBERG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46249</v>
      </c>
      <c r="F590" t="inlineStr">
        <is>
          <t>HALLANDS LÄN</t>
        </is>
      </c>
      <c r="G590" t="inlineStr">
        <is>
          <t>FALKENBERG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34246-2025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45845</v>
      </c>
      <c r="E591" s="1" t="n">
        <v>46249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34800-2025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45848</v>
      </c>
      <c r="E592" s="1" t="n">
        <v>46249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28285-2026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46249</v>
      </c>
      <c r="F593" t="inlineStr">
        <is>
          <t>HALLANDS LÄN</t>
        </is>
      </c>
      <c r="G593" t="inlineStr">
        <is>
          <t>FALKENBERG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45750</v>
      </c>
      <c r="E594" s="1" t="n">
        <v>46249</v>
      </c>
      <c r="F594" t="inlineStr">
        <is>
          <t>HALLANDS LÄN</t>
        </is>
      </c>
      <c r="G594" t="inlineStr">
        <is>
          <t>FALKENBERG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45800</v>
      </c>
      <c r="E595" s="1" t="n">
        <v>46249</v>
      </c>
      <c r="F595" t="inlineStr">
        <is>
          <t>HALLANDS LÄN</t>
        </is>
      </c>
      <c r="G595" t="inlineStr">
        <is>
          <t>FALKENBERG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20902-2025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45777</v>
      </c>
      <c r="E596" s="1" t="n">
        <v>46249</v>
      </c>
      <c r="F596" t="inlineStr">
        <is>
          <t>HALLANDS LÄN</t>
        </is>
      </c>
      <c r="G596" t="inlineStr">
        <is>
          <t>FALKENBERG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46249</v>
      </c>
      <c r="F597" t="inlineStr">
        <is>
          <t>HALLANDS LÄN</t>
        </is>
      </c>
      <c r="G597" t="inlineStr">
        <is>
          <t>FALKENBERG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65081-2021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44515</v>
      </c>
      <c r="E598" s="1" t="n">
        <v>46249</v>
      </c>
      <c r="F598" t="inlineStr">
        <is>
          <t>HALLANDS LÄN</t>
        </is>
      </c>
      <c r="G598" t="inlineStr">
        <is>
          <t>FALKENBERG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66747-2021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44521</v>
      </c>
      <c r="E599" s="1" t="n">
        <v>46249</v>
      </c>
      <c r="F599" t="inlineStr">
        <is>
          <t>HALLANDS LÄN</t>
        </is>
      </c>
      <c r="G599" t="inlineStr">
        <is>
          <t>FALKENBERG</t>
        </is>
      </c>
      <c r="I599" t="n">
        <v>10.7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18321-2024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45422</v>
      </c>
      <c r="E600" s="1" t="n">
        <v>46249</v>
      </c>
      <c r="F600" t="inlineStr">
        <is>
          <t>HALLANDS LÄN</t>
        </is>
      </c>
      <c r="G600" t="inlineStr">
        <is>
          <t>FALKENBERG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18323-2024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45422</v>
      </c>
      <c r="E601" s="1" t="n">
        <v>46249</v>
      </c>
      <c r="F601" t="inlineStr">
        <is>
          <t>HALLANDS LÄN</t>
        </is>
      </c>
      <c r="G601" t="inlineStr">
        <is>
          <t>FALKENBERG</t>
        </is>
      </c>
      <c r="H601" t="inlineStr">
        <is>
          <t>Bergvik skog väst AB</t>
        </is>
      </c>
      <c r="I601" t="n">
        <v>10.4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18329-2024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45422</v>
      </c>
      <c r="E602" s="1" t="n">
        <v>46249</v>
      </c>
      <c r="F602" t="inlineStr">
        <is>
          <t>HALLANDS LÄN</t>
        </is>
      </c>
      <c r="G602" t="inlineStr">
        <is>
          <t>FALKENBERG</t>
        </is>
      </c>
      <c r="H602" t="inlineStr">
        <is>
          <t>Bergvik skog väst AB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39593-2022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44818</v>
      </c>
      <c r="E603" s="1" t="n">
        <v>46249</v>
      </c>
      <c r="F603" t="inlineStr">
        <is>
          <t>HALLANDS LÄN</t>
        </is>
      </c>
      <c r="G603" t="inlineStr">
        <is>
          <t>FALKENBERG</t>
        </is>
      </c>
      <c r="H603" t="inlineStr">
        <is>
          <t>Bergvik skog väst AB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21815-2023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45068</v>
      </c>
      <c r="E604" s="1" t="n">
        <v>46249</v>
      </c>
      <c r="F604" t="inlineStr">
        <is>
          <t>HALLANDS LÄN</t>
        </is>
      </c>
      <c r="G604" t="inlineStr">
        <is>
          <t>FALKENBERG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50381-2022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44866</v>
      </c>
      <c r="E605" s="1" t="n">
        <v>46249</v>
      </c>
      <c r="F605" t="inlineStr">
        <is>
          <t>HALLANDS LÄN</t>
        </is>
      </c>
      <c r="G605" t="inlineStr">
        <is>
          <t>FALKENBERG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13514-2024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45387</v>
      </c>
      <c r="E606" s="1" t="n">
        <v>46249</v>
      </c>
      <c r="F606" t="inlineStr">
        <is>
          <t>HALLANDS LÄN</t>
        </is>
      </c>
      <c r="G606" t="inlineStr">
        <is>
          <t>FALKENBERG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20250-2024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45434</v>
      </c>
      <c r="E607" s="1" t="n">
        <v>46249</v>
      </c>
      <c r="F607" t="inlineStr">
        <is>
          <t>HALLANDS LÄN</t>
        </is>
      </c>
      <c r="G607" t="inlineStr">
        <is>
          <t>FALKENBERG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53427-2023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45229</v>
      </c>
      <c r="E608" s="1" t="n">
        <v>46249</v>
      </c>
      <c r="F608" t="inlineStr">
        <is>
          <t>HALLANDS LÄN</t>
        </is>
      </c>
      <c r="G608" t="inlineStr">
        <is>
          <t>FALKENBERG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63254-2023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46249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45079</v>
      </c>
      <c r="E610" s="1" t="n">
        <v>46249</v>
      </c>
      <c r="F610" t="inlineStr">
        <is>
          <t>HALLANDS LÄN</t>
        </is>
      </c>
      <c r="G610" t="inlineStr">
        <is>
          <t>FALKENBERG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45305</v>
      </c>
      <c r="E611" s="1" t="n">
        <v>46249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19534-2022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44693</v>
      </c>
      <c r="E612" s="1" t="n">
        <v>46249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4072-2023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44952</v>
      </c>
      <c r="E613" s="1" t="n">
        <v>46249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45817</v>
      </c>
      <c r="E614" s="1" t="n">
        <v>46249</v>
      </c>
      <c r="F614" t="inlineStr">
        <is>
          <t>HALLANDS LÄN</t>
        </is>
      </c>
      <c r="G614" t="inlineStr">
        <is>
          <t>FALKENBERG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45146</v>
      </c>
      <c r="E615" s="1" t="n">
        <v>46249</v>
      </c>
      <c r="F615" t="inlineStr">
        <is>
          <t>HALLANDS LÄN</t>
        </is>
      </c>
      <c r="G615" t="inlineStr">
        <is>
          <t>FALKENBERG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45840</v>
      </c>
      <c r="E616" s="1" t="n">
        <v>46249</v>
      </c>
      <c r="F616" t="inlineStr">
        <is>
          <t>HALLANDS LÄN</t>
        </is>
      </c>
      <c r="G616" t="inlineStr">
        <is>
          <t>FALKENBERG</t>
        </is>
      </c>
      <c r="H616" t="inlineStr">
        <is>
          <t>Bergvik skog väst AB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45337</v>
      </c>
      <c r="E617" s="1" t="n">
        <v>46249</v>
      </c>
      <c r="F617" t="inlineStr">
        <is>
          <t>HALLANDS LÄN</t>
        </is>
      </c>
      <c r="G617" t="inlineStr">
        <is>
          <t>FALKENBERG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44952</v>
      </c>
      <c r="E618" s="1" t="n">
        <v>46249</v>
      </c>
      <c r="F618" t="inlineStr">
        <is>
          <t>HALLANDS LÄN</t>
        </is>
      </c>
      <c r="G618" t="inlineStr">
        <is>
          <t>FALKENBERG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18077-2025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45761</v>
      </c>
      <c r="E619" s="1" t="n">
        <v>46249</v>
      </c>
      <c r="F619" t="inlineStr">
        <is>
          <t>HALLANDS LÄN</t>
        </is>
      </c>
      <c r="G619" t="inlineStr">
        <is>
          <t>FALKENBERG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64455-2023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45280</v>
      </c>
      <c r="E620" s="1" t="n">
        <v>46249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6149-2024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45337</v>
      </c>
      <c r="E621" s="1" t="n">
        <v>46249</v>
      </c>
      <c r="F621" t="inlineStr">
        <is>
          <t>HALLANDS LÄN</t>
        </is>
      </c>
      <c r="G621" t="inlineStr">
        <is>
          <t>FALKENBERG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21978-2023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45068</v>
      </c>
      <c r="E622" s="1" t="n">
        <v>46249</v>
      </c>
      <c r="F622" t="inlineStr">
        <is>
          <t>HALLANDS LÄN</t>
        </is>
      </c>
      <c r="G622" t="inlineStr">
        <is>
          <t>FALKENBERG</t>
        </is>
      </c>
      <c r="I622" t="n">
        <v>13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45074</v>
      </c>
      <c r="E623" s="1" t="n">
        <v>46249</v>
      </c>
      <c r="F623" t="inlineStr">
        <is>
          <t>HALLANDS LÄN</t>
        </is>
      </c>
      <c r="G623" t="inlineStr">
        <is>
          <t>FALKENBERG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62582-2023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45270</v>
      </c>
      <c r="E624" s="1" t="n">
        <v>46249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45249</v>
      </c>
      <c r="E625" s="1" t="n">
        <v>46249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45974-2022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44846</v>
      </c>
      <c r="E626" s="1" t="n">
        <v>46249</v>
      </c>
      <c r="F626" t="inlineStr">
        <is>
          <t>HALLANDS LÄN</t>
        </is>
      </c>
      <c r="G626" t="inlineStr">
        <is>
          <t>FALKENBERG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14606-2023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45013</v>
      </c>
      <c r="E627" s="1" t="n">
        <v>46249</v>
      </c>
      <c r="F627" t="inlineStr">
        <is>
          <t>HALLANDS LÄN</t>
        </is>
      </c>
      <c r="G627" t="inlineStr">
        <is>
          <t>FALKENBERG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45970-2022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44846</v>
      </c>
      <c r="E628" s="1" t="n">
        <v>46249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60594-2023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45260</v>
      </c>
      <c r="E629" s="1" t="n">
        <v>46249</v>
      </c>
      <c r="F629" t="inlineStr">
        <is>
          <t>HALLANDS LÄN</t>
        </is>
      </c>
      <c r="G629" t="inlineStr">
        <is>
          <t>FALKENBERG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58089-2023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45248</v>
      </c>
      <c r="E630" s="1" t="n">
        <v>46249</v>
      </c>
      <c r="F630" t="inlineStr">
        <is>
          <t>HALLANDS LÄN</t>
        </is>
      </c>
      <c r="G630" t="inlineStr">
        <is>
          <t>FALKENBERG</t>
        </is>
      </c>
      <c r="H630" t="inlineStr">
        <is>
          <t>Bergvik skog väst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58106-2023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45249</v>
      </c>
      <c r="E631" s="1" t="n">
        <v>46249</v>
      </c>
      <c r="F631" t="inlineStr">
        <is>
          <t>HALLANDS LÄN</t>
        </is>
      </c>
      <c r="G631" t="inlineStr">
        <is>
          <t>FALKENBERG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62712-2023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46249</v>
      </c>
      <c r="F632" t="inlineStr">
        <is>
          <t>HALLANDS LÄN</t>
        </is>
      </c>
      <c r="G632" t="inlineStr">
        <is>
          <t>FALKENBERG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46200</v>
      </c>
      <c r="E633" s="1" t="n">
        <v>46249</v>
      </c>
      <c r="F633" t="inlineStr">
        <is>
          <t>HALLANDS LÄN</t>
        </is>
      </c>
      <c r="G633" t="inlineStr">
        <is>
          <t>FALKENBERG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20251-2024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45434</v>
      </c>
      <c r="E634" s="1" t="n">
        <v>46249</v>
      </c>
      <c r="F634" t="inlineStr">
        <is>
          <t>HALLANDS LÄN</t>
        </is>
      </c>
      <c r="G634" t="inlineStr">
        <is>
          <t>FALKENBERG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46249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30893-2022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44767</v>
      </c>
      <c r="E636" s="1" t="n">
        <v>46249</v>
      </c>
      <c r="F636" t="inlineStr">
        <is>
          <t>HALLANDS LÄN</t>
        </is>
      </c>
      <c r="G636" t="inlineStr">
        <is>
          <t>FALKENBERG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14602-2023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45013</v>
      </c>
      <c r="E637" s="1" t="n">
        <v>46249</v>
      </c>
      <c r="F637" t="inlineStr">
        <is>
          <t>HALLANDS LÄN</t>
        </is>
      </c>
      <c r="G637" t="inlineStr">
        <is>
          <t>FALKENBERG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16675-2025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45754</v>
      </c>
      <c r="E638" s="1" t="n">
        <v>46249</v>
      </c>
      <c r="F638" t="inlineStr">
        <is>
          <t>HALLANDS LÄN</t>
        </is>
      </c>
      <c r="G638" t="inlineStr">
        <is>
          <t>FALKENBERG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61931-2021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44502</v>
      </c>
      <c r="E639" s="1" t="n">
        <v>46249</v>
      </c>
      <c r="F639" t="inlineStr">
        <is>
          <t>HALLANDS LÄN</t>
        </is>
      </c>
      <c r="G639" t="inlineStr">
        <is>
          <t>FALKENBERG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29863-2025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45826</v>
      </c>
      <c r="E640" s="1" t="n">
        <v>46249</v>
      </c>
      <c r="F640" t="inlineStr">
        <is>
          <t>HALLANDS LÄN</t>
        </is>
      </c>
      <c r="G640" t="inlineStr">
        <is>
          <t>FALKENBERG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58109-2023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45249</v>
      </c>
      <c r="E641" s="1" t="n">
        <v>46249</v>
      </c>
      <c r="F641" t="inlineStr">
        <is>
          <t>HALLANDS LÄN</t>
        </is>
      </c>
      <c r="G641" t="inlineStr">
        <is>
          <t>FALKENBERG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58417-2023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45250</v>
      </c>
      <c r="E642" s="1" t="n">
        <v>46249</v>
      </c>
      <c r="F642" t="inlineStr">
        <is>
          <t>HALLANDS LÄN</t>
        </is>
      </c>
      <c r="G642" t="inlineStr">
        <is>
          <t>FALKENBERG</t>
        </is>
      </c>
      <c r="I642" t="n">
        <v>5.4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56652-2023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45243</v>
      </c>
      <c r="E643" s="1" t="n">
        <v>46249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44943</v>
      </c>
      <c r="E644" s="1" t="n">
        <v>46249</v>
      </c>
      <c r="F644" t="inlineStr">
        <is>
          <t>HALLANDS LÄN</t>
        </is>
      </c>
      <c r="G644" t="inlineStr">
        <is>
          <t>FALKENBERG</t>
        </is>
      </c>
      <c r="H644" t="inlineStr">
        <is>
          <t>Bergvik skog väst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46249</v>
      </c>
      <c r="F645" t="inlineStr">
        <is>
          <t>HALLANDS LÄN</t>
        </is>
      </c>
      <c r="G645" t="inlineStr">
        <is>
          <t>FALKENBERG</t>
        </is>
      </c>
      <c r="H645" t="inlineStr">
        <is>
          <t>Bergvik skog väst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43581-2023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45184</v>
      </c>
      <c r="E646" s="1" t="n">
        <v>46249</v>
      </c>
      <c r="F646" t="inlineStr">
        <is>
          <t>HALLANDS LÄN</t>
        </is>
      </c>
      <c r="G646" t="inlineStr">
        <is>
          <t>FALKENBERG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46249</v>
      </c>
      <c r="F647" t="inlineStr">
        <is>
          <t>HALLANDS LÄN</t>
        </is>
      </c>
      <c r="G647" t="inlineStr">
        <is>
          <t>FALKENBERG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43610-2023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45184</v>
      </c>
      <c r="E648" s="1" t="n">
        <v>46249</v>
      </c>
      <c r="F648" t="inlineStr">
        <is>
          <t>HALLANDS LÄN</t>
        </is>
      </c>
      <c r="G648" t="inlineStr">
        <is>
          <t>FALKENBERG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46249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29216-2026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46202</v>
      </c>
      <c r="E650" s="1" t="n">
        <v>46249</v>
      </c>
      <c r="F650" t="inlineStr">
        <is>
          <t>HALLANDS LÄN</t>
        </is>
      </c>
      <c r="G650" t="inlineStr">
        <is>
          <t>FALKENBERG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46202</v>
      </c>
      <c r="E651" s="1" t="n">
        <v>46249</v>
      </c>
      <c r="F651" t="inlineStr">
        <is>
          <t>HALLANDS LÄN</t>
        </is>
      </c>
      <c r="G651" t="inlineStr">
        <is>
          <t>FALKENBERG</t>
        </is>
      </c>
      <c r="H651" t="inlineStr">
        <is>
          <t>Bergvik skog väst AB</t>
        </is>
      </c>
      <c r="I651" t="n">
        <v>7.7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29229-2026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46202</v>
      </c>
      <c r="E652" s="1" t="n">
        <v>46249</v>
      </c>
      <c r="F652" t="inlineStr">
        <is>
          <t>HALLANDS LÄN</t>
        </is>
      </c>
      <c r="G652" t="inlineStr">
        <is>
          <t>FALKENBERG</t>
        </is>
      </c>
      <c r="H652" t="inlineStr">
        <is>
          <t>Bergvik skog väst AB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29346-2026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46203</v>
      </c>
      <c r="E653" s="1" t="n">
        <v>46249</v>
      </c>
      <c r="F653" t="inlineStr">
        <is>
          <t>HALLANDS LÄN</t>
        </is>
      </c>
      <c r="G653" t="inlineStr">
        <is>
          <t>FALKENBERG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46247</v>
      </c>
      <c r="E654" s="1" t="n">
        <v>46249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46248</v>
      </c>
      <c r="E655" s="1" t="n">
        <v>46249</v>
      </c>
      <c r="F655" t="inlineStr">
        <is>
          <t>HALLANDS LÄN</t>
        </is>
      </c>
      <c r="G655" t="inlineStr">
        <is>
          <t>FALKENBERG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46249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203-2022</t>
        </is>
      </c>
      <c r="B657" t="inlineStr">
        <is>
          <t>samrådsanmälan</t>
        </is>
      </c>
      <c r="C657" t="inlineStr">
        <is>
          <t>Skogsbilväg</t>
        </is>
      </c>
      <c r="D657" s="1" t="n">
        <v>44574</v>
      </c>
      <c r="E657" s="1" t="n">
        <v>46249</v>
      </c>
      <c r="F657" t="inlineStr">
        <is>
          <t>HALLANDS LÄN</t>
        </is>
      </c>
      <c r="G657" t="inlineStr">
        <is>
          <t>FALKENBERG</t>
        </is>
      </c>
      <c r="H657" t="inlineStr">
        <is>
          <t>Bergvik skog väst AB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951-2022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44608</v>
      </c>
      <c r="E658" s="1" t="n">
        <v>46249</v>
      </c>
      <c r="F658" t="inlineStr">
        <is>
          <t>HALLANDS LÄN</t>
        </is>
      </c>
      <c r="G658" t="inlineStr">
        <is>
          <t>FALKENBERG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1472-2022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44636</v>
      </c>
      <c r="E659" s="1" t="n">
        <v>46249</v>
      </c>
      <c r="F659" t="inlineStr">
        <is>
          <t>HALLANDS LÄN</t>
        </is>
      </c>
      <c r="G659" t="inlineStr">
        <is>
          <t>FALKENBERG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4308-2023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45259</v>
      </c>
      <c r="E660" s="1" t="n">
        <v>46249</v>
      </c>
      <c r="F660" t="inlineStr">
        <is>
          <t>HALLANDS LÄN</t>
        </is>
      </c>
      <c r="G660" t="inlineStr">
        <is>
          <t>FALKENBERG</t>
        </is>
      </c>
      <c r="I660" t="n">
        <v>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621-2024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46249</v>
      </c>
      <c r="F661" t="inlineStr">
        <is>
          <t>HALLANDS LÄN</t>
        </is>
      </c>
      <c r="G661" t="inlineStr">
        <is>
          <t>FALKENBERG</t>
        </is>
      </c>
      <c r="I661" t="n">
        <v>47.3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5495-2021</t>
        </is>
      </c>
      <c r="B662" t="inlineStr">
        <is>
          <t>samrådsanmälan</t>
        </is>
      </c>
      <c r="C662" t="inlineStr">
        <is>
          <t>Basväg</t>
        </is>
      </c>
      <c r="D662" s="1" t="n">
        <v>44431</v>
      </c>
      <c r="E662" s="1" t="n">
        <v>46249</v>
      </c>
      <c r="F662" t="inlineStr">
        <is>
          <t>HALLANDS LÄN</t>
        </is>
      </c>
      <c r="G662" t="inlineStr">
        <is>
          <t>FALKENBERG</t>
        </is>
      </c>
      <c r="H662" t="inlineStr">
        <is>
          <t>Bergvik skog väst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4323-2023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45261</v>
      </c>
      <c r="E663" s="1" t="n">
        <v>46249</v>
      </c>
      <c r="F663" t="inlineStr">
        <is>
          <t>HALLANDS LÄN</t>
        </is>
      </c>
      <c r="G663" t="inlineStr">
        <is>
          <t>FALKENBERG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792-2024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46249</v>
      </c>
      <c r="F664" t="inlineStr">
        <is>
          <t>HALLANDS LÄN</t>
        </is>
      </c>
      <c r="G664" t="inlineStr">
        <is>
          <t>FALKENBERG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8080-2021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44489</v>
      </c>
      <c r="E665" s="1" t="n">
        <v>46249</v>
      </c>
      <c r="F665" t="inlineStr">
        <is>
          <t>HALLANDS LÄN</t>
        </is>
      </c>
      <c r="G665" t="inlineStr">
        <is>
          <t>FALKENBERG</t>
        </is>
      </c>
      <c r="H665" t="inlineStr">
        <is>
          <t>Bergvik skog väst AB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646-2024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45356</v>
      </c>
      <c r="E666" s="1" t="n">
        <v>46249</v>
      </c>
      <c r="F666" t="inlineStr">
        <is>
          <t>HALLANDS LÄN</t>
        </is>
      </c>
      <c r="G666" t="inlineStr">
        <is>
          <t>FALKENBERG</t>
        </is>
      </c>
      <c r="I666" t="n">
        <v>20.7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366-2024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45330</v>
      </c>
      <c r="E667" s="1" t="n">
        <v>46249</v>
      </c>
      <c r="F667" t="inlineStr">
        <is>
          <t>HALLANDS LÄN</t>
        </is>
      </c>
      <c r="G667" t="inlineStr">
        <is>
          <t>FALKENBERG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7248-2021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46249</v>
      </c>
      <c r="F668" t="inlineStr">
        <is>
          <t>HALLANDS LÄN</t>
        </is>
      </c>
      <c r="G668" t="inlineStr">
        <is>
          <t>FALKENBERG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557-2024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45349</v>
      </c>
      <c r="E669" s="1" t="n">
        <v>46249</v>
      </c>
      <c r="F669" t="inlineStr">
        <is>
          <t>HALLANDS LÄN</t>
        </is>
      </c>
      <c r="G669" t="inlineStr">
        <is>
          <t>FALKENBERG</t>
        </is>
      </c>
      <c r="I669" t="n">
        <v>20.6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625-2024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46249</v>
      </c>
      <c r="F670" t="inlineStr">
        <is>
          <t>HALLANDS LÄN</t>
        </is>
      </c>
      <c r="G670" t="inlineStr">
        <is>
          <t>FALKENBERG</t>
        </is>
      </c>
      <c r="I670" t="n">
        <v>45.6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1742-2024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45435</v>
      </c>
      <c r="E671" s="1" t="n">
        <v>46249</v>
      </c>
      <c r="F671" t="inlineStr">
        <is>
          <t>HALLANDS LÄN</t>
        </is>
      </c>
      <c r="G671" t="inlineStr">
        <is>
          <t>FALKENBERG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794-2024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45370</v>
      </c>
      <c r="E672" s="1" t="n">
        <v>46249</v>
      </c>
      <c r="F672" t="inlineStr">
        <is>
          <t>HALLANDS LÄN</t>
        </is>
      </c>
      <c r="G672" t="inlineStr">
        <is>
          <t>FALKENBERG</t>
        </is>
      </c>
      <c r="I672" t="n">
        <v>33.4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7247-2021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46249</v>
      </c>
      <c r="F673" t="inlineStr">
        <is>
          <t>HALLANDS LÄN</t>
        </is>
      </c>
      <c r="G673" t="inlineStr">
        <is>
          <t>FALKENBERG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4192-2024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45580</v>
      </c>
      <c r="E674" s="1" t="n">
        <v>46249</v>
      </c>
      <c r="F674" t="inlineStr">
        <is>
          <t>HALLANDS LÄN</t>
        </is>
      </c>
      <c r="G674" t="inlineStr">
        <is>
          <t>FALKENBERG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793-2024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45370</v>
      </c>
      <c r="E675" s="1" t="n">
        <v>46249</v>
      </c>
      <c r="F675" t="inlineStr">
        <is>
          <t>HALLANDS LÄN</t>
        </is>
      </c>
      <c r="G675" t="inlineStr">
        <is>
          <t>FALKENBERG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403-2024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45335</v>
      </c>
      <c r="E676" s="1" t="n">
        <v>46249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3407-2024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45534</v>
      </c>
      <c r="E677" s="1" t="n">
        <v>46249</v>
      </c>
      <c r="F677" t="inlineStr">
        <is>
          <t>HALLANDS LÄN</t>
        </is>
      </c>
      <c r="G677" t="inlineStr">
        <is>
          <t>FALKENBERG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470-2023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44967</v>
      </c>
      <c r="E678" s="1" t="n">
        <v>46249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616-2024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45352</v>
      </c>
      <c r="E679" s="1" t="n">
        <v>46249</v>
      </c>
      <c r="F679" t="inlineStr">
        <is>
          <t>HALLANDS LÄN</t>
        </is>
      </c>
      <c r="G679" t="inlineStr">
        <is>
          <t>FALKENBERG</t>
        </is>
      </c>
      <c r="I679" t="n">
        <v>70.59999999999999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8081-2021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44489</v>
      </c>
      <c r="E680" s="1" t="n">
        <v>46249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1009-2025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46249</v>
      </c>
      <c r="F681" t="inlineStr">
        <is>
          <t>HALLANDS LÄN</t>
        </is>
      </c>
      <c r="G681" t="inlineStr">
        <is>
          <t>FALKENBERG</t>
        </is>
      </c>
      <c r="I681" t="n">
        <v>19.3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1008-2025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46249</v>
      </c>
      <c r="F682" t="inlineStr">
        <is>
          <t>HALLANDS LÄN</t>
        </is>
      </c>
      <c r="G682" t="inlineStr">
        <is>
          <t>FALKENBERG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1073-2025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45750</v>
      </c>
      <c r="E683" s="1" t="n">
        <v>46249</v>
      </c>
      <c r="F683" t="inlineStr">
        <is>
          <t>HALLANDS LÄN</t>
        </is>
      </c>
      <c r="G683" t="inlineStr">
        <is>
          <t>FALKENBERG</t>
        </is>
      </c>
      <c r="I683" t="n">
        <v>21.5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1154-2025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45756</v>
      </c>
      <c r="E684" s="1" t="n">
        <v>46249</v>
      </c>
      <c r="F684" t="inlineStr">
        <is>
          <t>HALLANDS LÄN</t>
        </is>
      </c>
      <c r="G684" t="inlineStr">
        <is>
          <t>FALKENBERG</t>
        </is>
      </c>
      <c r="I684" t="n">
        <v>17.8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640-2025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45715</v>
      </c>
      <c r="E685" s="1" t="n">
        <v>46249</v>
      </c>
      <c r="F685" t="inlineStr">
        <is>
          <t>HALLANDS LÄN</t>
        </is>
      </c>
      <c r="G685" t="inlineStr">
        <is>
          <t>FALKENBERG</t>
        </is>
      </c>
      <c r="I685" t="n">
        <v>40.4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2536-2025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45910</v>
      </c>
      <c r="E686" s="1" t="n">
        <v>46249</v>
      </c>
      <c r="F686" t="inlineStr">
        <is>
          <t>HALLANDS LÄN</t>
        </is>
      </c>
      <c r="G686" t="inlineStr">
        <is>
          <t>FALKENBERG</t>
        </is>
      </c>
      <c r="I686" t="n">
        <v>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46020</v>
      </c>
      <c r="E687" s="1" t="n">
        <v>46249</v>
      </c>
      <c r="F687" t="inlineStr">
        <is>
          <t>HALLANDS LÄN</t>
        </is>
      </c>
      <c r="G687" t="inlineStr">
        <is>
          <t>FALKENBERG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46249</v>
      </c>
      <c r="F688" t="inlineStr">
        <is>
          <t>HALLANDS LÄN</t>
        </is>
      </c>
      <c r="G688" t="inlineStr">
        <is>
          <t>FALKENBERG</t>
        </is>
      </c>
      <c r="I688" t="n">
        <v>31.6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313-2026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46058</v>
      </c>
      <c r="E689" s="1" t="n">
        <v>46249</v>
      </c>
      <c r="F689" t="inlineStr">
        <is>
          <t>HALLANDS LÄN</t>
        </is>
      </c>
      <c r="G689" t="inlineStr">
        <is>
          <t>FALKENBERG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1015-2026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46122</v>
      </c>
      <c r="E690" s="1" t="n">
        <v>46249</v>
      </c>
      <c r="F690" t="inlineStr">
        <is>
          <t>HALLANDS LÄN</t>
        </is>
      </c>
      <c r="G690" t="inlineStr">
        <is>
          <t>FALKENBERG</t>
        </is>
      </c>
      <c r="I690" t="n">
        <v>24.7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1401-2026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46249</v>
      </c>
      <c r="F691" t="inlineStr">
        <is>
          <t>HALLANDS LÄN</t>
        </is>
      </c>
      <c r="G691" t="inlineStr">
        <is>
          <t>FALKENBERG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46249</v>
      </c>
      <c r="F692" t="inlineStr">
        <is>
          <t>HALLANDS LÄN</t>
        </is>
      </c>
      <c r="G692" t="inlineStr">
        <is>
          <t>FALKENBERG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1399-2026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46154</v>
      </c>
      <c r="E693" s="1" t="n">
        <v>46249</v>
      </c>
      <c r="F693" t="inlineStr">
        <is>
          <t>HALLANDS LÄN</t>
        </is>
      </c>
      <c r="G693" t="inlineStr">
        <is>
          <t>FALKENBERG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1397-2026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46154</v>
      </c>
      <c r="E694" s="1" t="n">
        <v>46249</v>
      </c>
      <c r="F694" t="inlineStr">
        <is>
          <t>HALLANDS LÄN</t>
        </is>
      </c>
      <c r="G694" t="inlineStr">
        <is>
          <t>FALKENBERG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1442-2026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46160</v>
      </c>
      <c r="E695" s="1" t="n">
        <v>46249</v>
      </c>
      <c r="F695" t="inlineStr">
        <is>
          <t>HALLANDS LÄN</t>
        </is>
      </c>
      <c r="G695" t="inlineStr">
        <is>
          <t>FALKENBERG</t>
        </is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2002-2026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46206</v>
      </c>
      <c r="E696" s="1" t="n">
        <v>46249</v>
      </c>
      <c r="F696" t="inlineStr">
        <is>
          <t>HALLANDS LÄN</t>
        </is>
      </c>
      <c r="G696" t="inlineStr">
        <is>
          <t>FALKENBERG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2026-08-15T08:27:00Z</dcterms:created>
  <dcterms:modified xmlns:dcterms="http://purl.org/dc/terms/" xmlns:xsi="http://www.w3.org/2001/XMLSchema-instance" xsi:type="dcterms:W3CDTF">2026-08-15T08:27:01Z</dcterms:modified>
</cp:coreProperties>
</file>