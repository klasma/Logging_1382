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46314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46314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46314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46314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46314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46314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46314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46314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46314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46314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46314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46314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46314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46314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46314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46314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46314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46314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46314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HYPERLINK("https://klasma.github.io/Logging_1382/artfynd/A 50078-2024 artfynd.xlsx", "A 50078-2024")</f>
        <v/>
      </c>
      <c r="X29">
        <f>HYPERLINK("https://klasma.github.io/Logging_1382/kartor/A 50078-2024 karta.png", "A 50078-2024")</f>
        <v/>
      </c>
      <c r="Y29">
        <f>HYPERLINK("https://klasma.github.io/Logging_1382/kartor_geotiff/A 50078-2024 georefererad karta.tif", "A 50078-2024")</f>
        <v/>
      </c>
      <c r="AA29">
        <f>HYPERLINK("https://klasma.github.io/Logging_1382/klagomål/A 50078-2024 FSC-klagomål.docx", "A 50078-2024")</f>
        <v/>
      </c>
      <c r="AB29">
        <f>HYPERLINK("https://klasma.github.io/Logging_1382/klagomålsmail/A 50078-2024 FSC-klagomål mail.docx", "A 50078-2024")</f>
        <v/>
      </c>
      <c r="AC29">
        <f>HYPERLINK("https://klasma.github.io/Logging_1382/tillsyn/A 50078-2024 tillsynsbegäran.docx", "A 50078-2024")</f>
        <v/>
      </c>
      <c r="AD29">
        <f>HYPERLINK("https://klasma.github.io/Logging_1382/tillsynsmail/A 50078-2024 tillsynsbegäran mail.docx", "A 50078-2024")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46314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46314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46314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46314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46314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46314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46314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42551-2024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45565</v>
      </c>
      <c r="E37" s="1" t="n">
        <v>46314</v>
      </c>
      <c r="F37" t="inlineStr">
        <is>
          <t>HALLANDS LÄN</t>
        </is>
      </c>
      <c r="G37" t="inlineStr">
        <is>
          <t>FALKENBERG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42551-2024 artfynd.xlsx", "A 42551-2024")</f>
        <v/>
      </c>
      <c r="X37">
        <f>HYPERLINK("https://klasma.github.io/Logging_1382/kartor/A 42551-2024 karta.png", "A 42551-2024")</f>
        <v/>
      </c>
      <c r="Y37">
        <f>HYPERLINK("https://klasma.github.io/Logging_1382/kartor_geotiff/A 42551-2024 georefererad karta.tif", "A 42551-2024")</f>
        <v/>
      </c>
      <c r="AA37">
        <f>HYPERLINK("https://klasma.github.io/Logging_1382/klagomål/A 42551-2024 FSC-klagomål.docx", "A 42551-2024")</f>
        <v/>
      </c>
      <c r="AB37">
        <f>HYPERLINK("https://klasma.github.io/Logging_1382/klagomålsmail/A 42551-2024 FSC-klagomål mail.docx", "A 42551-2024")</f>
        <v/>
      </c>
      <c r="AC37">
        <f>HYPERLINK("https://klasma.github.io/Logging_1382/tillsyn/A 42551-2024 tillsynsbegäran.docx", "A 42551-2024")</f>
        <v/>
      </c>
      <c r="AD37">
        <f>HYPERLINK("https://klasma.github.io/Logging_1382/tillsynsmail/A 42551-2024 tillsynsbegäran mail.docx", "A 42551-2024")</f>
        <v/>
      </c>
      <c r="AE37">
        <f>HYPERLINK("https://klasma.github.io/Logging_1382/fåglar/A 42551-2024 prioriterade fågelarter.docx", "A 42551-2024")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46314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46314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33663-2026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46248</v>
      </c>
      <c r="E40" s="1" t="n">
        <v>46314</v>
      </c>
      <c r="F40" t="inlineStr">
        <is>
          <t>HALLANDS LÄN</t>
        </is>
      </c>
      <c r="G40" t="inlineStr">
        <is>
          <t>FALKENBERG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HYPERLINK("https://klasma.github.io/Logging_1382/artfynd/A 33663-2026 artfynd.xlsx", "A 33663-2026")</f>
        <v/>
      </c>
      <c r="X40">
        <f>HYPERLINK("https://klasma.github.io/Logging_1382/kartor/A 33663-2026 karta.png", "A 33663-2026")</f>
        <v/>
      </c>
      <c r="Y40">
        <f>HYPERLINK("https://klasma.github.io/Logging_1382/kartor_geotiff/A 33663-2026 georefererad karta.tif", "A 33663-2026")</f>
        <v/>
      </c>
      <c r="AA40">
        <f>HYPERLINK("https://klasma.github.io/Logging_1382/klagomål/A 33663-2026 FSC-klagomål.docx", "A 33663-2026")</f>
        <v/>
      </c>
      <c r="AB40">
        <f>HYPERLINK("https://klasma.github.io/Logging_1382/klagomålsmail/A 33663-2026 FSC-klagomål mail.docx", "A 33663-2026")</f>
        <v/>
      </c>
      <c r="AC40">
        <f>HYPERLINK("https://klasma.github.io/Logging_1382/tillsyn/A 33663-2026 tillsynsbegäran.docx", "A 33663-2026")</f>
        <v/>
      </c>
      <c r="AD40">
        <f>HYPERLINK("https://klasma.github.io/Logging_1382/tillsynsmail/A 33663-2026 tillsynsbegäran mail.docx", "A 33663-2026")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46314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21814-2023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46314</v>
      </c>
      <c r="F42" t="inlineStr">
        <is>
          <t>HALLANDS LÄN</t>
        </is>
      </c>
      <c r="G42" t="inlineStr">
        <is>
          <t>FALKENBERG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HYPERLINK("https://klasma.github.io/Logging_1382/artfynd/A 21814-2023 artfynd.xlsx", "A 21814-2023")</f>
        <v/>
      </c>
      <c r="X42">
        <f>HYPERLINK("https://klasma.github.io/Logging_1382/kartor/A 21814-2023 karta.png", "A 21814-2023")</f>
        <v/>
      </c>
      <c r="Y42">
        <f>HYPERLINK("https://klasma.github.io/Logging_1382/kartor_geotiff/A 21814-2023 georefererad karta.tif", "A 21814-2023")</f>
        <v/>
      </c>
      <c r="AA42">
        <f>HYPERLINK("https://klasma.github.io/Logging_1382/klagomål/A 21814-2023 FSC-klagomål.docx", "A 21814-2023")</f>
        <v/>
      </c>
      <c r="AB42">
        <f>HYPERLINK("https://klasma.github.io/Logging_1382/klagomålsmail/A 21814-2023 FSC-klagomål mail.docx", "A 21814-2023")</f>
        <v/>
      </c>
      <c r="AC42">
        <f>HYPERLINK("https://klasma.github.io/Logging_1382/tillsyn/A 21814-2023 tillsynsbegäran.docx", "A 21814-2023")</f>
        <v/>
      </c>
      <c r="AD42">
        <f>HYPERLINK("https://klasma.github.io/Logging_1382/tillsynsmail/A 21814-2023 tillsynsbegäran mail.docx", "A 21814-2023")</f>
        <v/>
      </c>
    </row>
    <row r="43" ht="15" customHeight="1">
      <c r="A43" t="inlineStr">
        <is>
          <t>A 63130-2023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46314</v>
      </c>
      <c r="F43" t="inlineStr">
        <is>
          <t>HALLANDS LÄN</t>
        </is>
      </c>
      <c r="G43" t="inlineStr">
        <is>
          <t>FALKENBERG</t>
        </is>
      </c>
      <c r="I43" t="n">
        <v>4.1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Hårginst</t>
        </is>
      </c>
      <c r="W43">
        <f>HYPERLINK("https://klasma.github.io/Logging_1382/artfynd/A 63130-2023 artfynd.xlsx", "A 63130-2023")</f>
        <v/>
      </c>
      <c r="X43">
        <f>HYPERLINK("https://klasma.github.io/Logging_1382/kartor/A 63130-2023 karta.png", "A 63130-2023")</f>
        <v/>
      </c>
      <c r="Y43">
        <f>HYPERLINK("https://klasma.github.io/Logging_1382/kartor_geotiff/A 63130-2023 georefererad karta.tif", "A 63130-2023")</f>
        <v/>
      </c>
      <c r="AA43">
        <f>HYPERLINK("https://klasma.github.io/Logging_1382/klagomål/A 63130-2023 FSC-klagomål.docx", "A 63130-2023")</f>
        <v/>
      </c>
      <c r="AB43">
        <f>HYPERLINK("https://klasma.github.io/Logging_1382/klagomålsmail/A 63130-2023 FSC-klagomål mail.docx", "A 63130-2023")</f>
        <v/>
      </c>
      <c r="AC43">
        <f>HYPERLINK("https://klasma.github.io/Logging_1382/tillsyn/A 63130-2023 tillsynsbegäran.docx", "A 63130-2023")</f>
        <v/>
      </c>
      <c r="AD43">
        <f>HYPERLINK("https://klasma.github.io/Logging_1382/tillsynsmail/A 63130-2023 tillsynsbegäran mail.docx", "A 63130-2023")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46314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46314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46314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46314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46314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46314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46314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46314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46314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46314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46314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46314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46314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46314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46314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46314</v>
      </c>
      <c r="F59" t="inlineStr">
        <is>
          <t>HALLANDS LÄN</t>
        </is>
      </c>
      <c r="G59" t="inlineStr">
        <is>
          <t>FALKENBERG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46314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46314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46314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46314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46314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46314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46314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46314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46314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46314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46314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46314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46314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46314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46314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46314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46314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46314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46314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46314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46314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46314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46314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46314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46314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46314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46314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46314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46314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46314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46314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46314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46314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46314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46314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46314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45321</v>
      </c>
      <c r="E96" s="1" t="n">
        <v>46314</v>
      </c>
      <c r="F96" t="inlineStr">
        <is>
          <t>HALLANDS LÄN</t>
        </is>
      </c>
      <c r="G96" t="inlineStr">
        <is>
          <t>FALKENBERG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46314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46314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44576</v>
      </c>
      <c r="E99" s="1" t="n">
        <v>46314</v>
      </c>
      <c r="F99" t="inlineStr">
        <is>
          <t>HALLANDS LÄN</t>
        </is>
      </c>
      <c r="G99" t="inlineStr">
        <is>
          <t>FALKENBERG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46314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46314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46314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46314</v>
      </c>
      <c r="F103" t="inlineStr">
        <is>
          <t>HALLANDS LÄN</t>
        </is>
      </c>
      <c r="G103" t="inlineStr">
        <is>
          <t>FALKENBERG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46314</v>
      </c>
      <c r="F104" t="inlineStr">
        <is>
          <t>HALLANDS LÄN</t>
        </is>
      </c>
      <c r="G104" t="inlineStr">
        <is>
          <t>FALKENBERG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46314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44946</v>
      </c>
      <c r="E106" s="1" t="n">
        <v>46314</v>
      </c>
      <c r="F106" t="inlineStr">
        <is>
          <t>HALLANDS LÄN</t>
        </is>
      </c>
      <c r="G106" t="inlineStr">
        <is>
          <t>FALKENBERG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45148</v>
      </c>
      <c r="E107" s="1" t="n">
        <v>46314</v>
      </c>
      <c r="F107" t="inlineStr">
        <is>
          <t>HALLANDS LÄN</t>
        </is>
      </c>
      <c r="G107" t="inlineStr">
        <is>
          <t>FALKENBERG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46314</v>
      </c>
      <c r="F108" t="inlineStr">
        <is>
          <t>HALLANDS LÄN</t>
        </is>
      </c>
      <c r="G108" t="inlineStr">
        <is>
          <t>FALKENBERG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46314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46314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46314</v>
      </c>
      <c r="F111" t="inlineStr">
        <is>
          <t>HALLANDS LÄN</t>
        </is>
      </c>
      <c r="G111" t="inlineStr">
        <is>
          <t>FALKENBERG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45147</v>
      </c>
      <c r="E112" s="1" t="n">
        <v>46314</v>
      </c>
      <c r="F112" t="inlineStr">
        <is>
          <t>HALLANDS LÄN</t>
        </is>
      </c>
      <c r="G112" t="inlineStr">
        <is>
          <t>FALKENBERG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45044</v>
      </c>
      <c r="E113" s="1" t="n">
        <v>46314</v>
      </c>
      <c r="F113" t="inlineStr">
        <is>
          <t>HALLANDS LÄN</t>
        </is>
      </c>
      <c r="G113" t="inlineStr">
        <is>
          <t>FALKENBERG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46314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46314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46314</v>
      </c>
      <c r="F116" t="inlineStr">
        <is>
          <t>HALLANDS LÄN</t>
        </is>
      </c>
      <c r="G116" t="inlineStr">
        <is>
          <t>FALKENBERG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46314</v>
      </c>
      <c r="F117" t="inlineStr">
        <is>
          <t>HALLANDS LÄN</t>
        </is>
      </c>
      <c r="G117" t="inlineStr">
        <is>
          <t>FALKENBERG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67744-2021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46314</v>
      </c>
      <c r="F118" t="inlineStr">
        <is>
          <t>HALLANDS LÄN</t>
        </is>
      </c>
      <c r="G118" t="inlineStr">
        <is>
          <t>FALKENBERG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44999</v>
      </c>
      <c r="E119" s="1" t="n">
        <v>46314</v>
      </c>
      <c r="F119" t="inlineStr">
        <is>
          <t>HALLANDS LÄN</t>
        </is>
      </c>
      <c r="G119" t="inlineStr">
        <is>
          <t>FALKENBERG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46314</v>
      </c>
      <c r="F120" t="inlineStr">
        <is>
          <t>HALLANDS LÄN</t>
        </is>
      </c>
      <c r="G120" t="inlineStr">
        <is>
          <t>FALKENBERG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46314</v>
      </c>
      <c r="F121" t="inlineStr">
        <is>
          <t>HALLANDS LÄN</t>
        </is>
      </c>
      <c r="G121" t="inlineStr">
        <is>
          <t>FALKENBERG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46314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45300</v>
      </c>
      <c r="E123" s="1" t="n">
        <v>46314</v>
      </c>
      <c r="F123" t="inlineStr">
        <is>
          <t>HALLANDS LÄN</t>
        </is>
      </c>
      <c r="G123" t="inlineStr">
        <is>
          <t>FALKENBERG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45152</v>
      </c>
      <c r="E124" s="1" t="n">
        <v>46314</v>
      </c>
      <c r="F124" t="inlineStr">
        <is>
          <t>HALLANDS LÄN</t>
        </is>
      </c>
      <c r="G124" t="inlineStr">
        <is>
          <t>FALKENBERG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46314</v>
      </c>
      <c r="F125" t="inlineStr">
        <is>
          <t>HALLANDS LÄN</t>
        </is>
      </c>
      <c r="G125" t="inlineStr">
        <is>
          <t>FALKENBERG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46314</v>
      </c>
      <c r="F126" t="inlineStr">
        <is>
          <t>HALLANDS LÄN</t>
        </is>
      </c>
      <c r="G126" t="inlineStr">
        <is>
          <t>FALKENBERG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46314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46314</v>
      </c>
      <c r="F128" t="inlineStr">
        <is>
          <t>HALLANDS LÄN</t>
        </is>
      </c>
      <c r="G128" t="inlineStr">
        <is>
          <t>FALKENBERG</t>
        </is>
      </c>
      <c r="H128" t="inlineStr">
        <is>
          <t>Kyrkan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72277-2021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44545</v>
      </c>
      <c r="E129" s="1" t="n">
        <v>46314</v>
      </c>
      <c r="F129" t="inlineStr">
        <is>
          <t>HALLANDS LÄN</t>
        </is>
      </c>
      <c r="G129" t="inlineStr">
        <is>
          <t>FALKENBERG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45019</v>
      </c>
      <c r="E130" s="1" t="n">
        <v>46314</v>
      </c>
      <c r="F130" t="inlineStr">
        <is>
          <t>HALLANDS LÄN</t>
        </is>
      </c>
      <c r="G130" t="inlineStr">
        <is>
          <t>FALKENBERG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46314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46314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46314</v>
      </c>
      <c r="F133" t="inlineStr">
        <is>
          <t>HALLANDS LÄN</t>
        </is>
      </c>
      <c r="G133" t="inlineStr">
        <is>
          <t>FALKENBERG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45127</v>
      </c>
      <c r="E134" s="1" t="n">
        <v>46314</v>
      </c>
      <c r="F134" t="inlineStr">
        <is>
          <t>HALLANDS LÄN</t>
        </is>
      </c>
      <c r="G134" t="inlineStr">
        <is>
          <t>FALKENBERG</t>
        </is>
      </c>
      <c r="H134" t="inlineStr">
        <is>
          <t>Kommuner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46314</v>
      </c>
      <c r="F135" t="inlineStr">
        <is>
          <t>HALLANDS LÄN</t>
        </is>
      </c>
      <c r="G135" t="inlineStr">
        <is>
          <t>FALKENBERG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46314</v>
      </c>
      <c r="F136" t="inlineStr">
        <is>
          <t>HALLANDS LÄN</t>
        </is>
      </c>
      <c r="G136" t="inlineStr">
        <is>
          <t>FALKENBERG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46314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46314</v>
      </c>
      <c r="F138" t="inlineStr">
        <is>
          <t>HALLANDS LÄN</t>
        </is>
      </c>
      <c r="G138" t="inlineStr">
        <is>
          <t>FALKENBERG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26312-2023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46314</v>
      </c>
      <c r="F139" t="inlineStr">
        <is>
          <t>HALLANDS LÄN</t>
        </is>
      </c>
      <c r="G139" t="inlineStr">
        <is>
          <t>FALKENBERG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46314</v>
      </c>
      <c r="F140" t="inlineStr">
        <is>
          <t>HALLANDS LÄN</t>
        </is>
      </c>
      <c r="G140" t="inlineStr">
        <is>
          <t>FALKENBERG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46314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46314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46314</v>
      </c>
      <c r="F143" t="inlineStr">
        <is>
          <t>HALLANDS LÄN</t>
        </is>
      </c>
      <c r="G143" t="inlineStr">
        <is>
          <t>FALKENBERG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46314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46314</v>
      </c>
      <c r="F145" t="inlineStr">
        <is>
          <t>HALLANDS LÄN</t>
        </is>
      </c>
      <c r="G145" t="inlineStr">
        <is>
          <t>FALKENBERG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46314</v>
      </c>
      <c r="F146" t="inlineStr">
        <is>
          <t>HALLANDS LÄN</t>
        </is>
      </c>
      <c r="G146" t="inlineStr">
        <is>
          <t>FALKENBERG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44689</v>
      </c>
      <c r="E147" s="1" t="n">
        <v>46314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45682</v>
      </c>
      <c r="E148" s="1" t="n">
        <v>46314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45682</v>
      </c>
      <c r="E149" s="1" t="n">
        <v>46314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46314</v>
      </c>
      <c r="F150" t="inlineStr">
        <is>
          <t>HALLANDS LÄN</t>
        </is>
      </c>
      <c r="G150" t="inlineStr">
        <is>
          <t>FALKENBERG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46314</v>
      </c>
      <c r="F151" t="inlineStr">
        <is>
          <t>HALLANDS LÄN</t>
        </is>
      </c>
      <c r="G151" t="inlineStr">
        <is>
          <t>FALKENBERG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45552</v>
      </c>
      <c r="E152" s="1" t="n">
        <v>46314</v>
      </c>
      <c r="F152" t="inlineStr">
        <is>
          <t>HALLANDS LÄN</t>
        </is>
      </c>
      <c r="G152" t="inlineStr">
        <is>
          <t>FALKENBERG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46314</v>
      </c>
      <c r="F153" t="inlineStr">
        <is>
          <t>HALLANDS LÄN</t>
        </is>
      </c>
      <c r="G153" t="inlineStr">
        <is>
          <t>FALKENBERG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46314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46314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46314</v>
      </c>
      <c r="F156" t="inlineStr">
        <is>
          <t>HALLANDS LÄN</t>
        </is>
      </c>
      <c r="G156" t="inlineStr">
        <is>
          <t>FALKENBERG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46314</v>
      </c>
      <c r="F157" t="inlineStr">
        <is>
          <t>HALLANDS LÄN</t>
        </is>
      </c>
      <c r="G157" t="inlineStr">
        <is>
          <t>FALKENBERG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46314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46314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46314</v>
      </c>
      <c r="F160" t="inlineStr">
        <is>
          <t>HALLANDS LÄN</t>
        </is>
      </c>
      <c r="G160" t="inlineStr">
        <is>
          <t>FALKENBERG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46314</v>
      </c>
      <c r="F161" t="inlineStr">
        <is>
          <t>HALLANDS LÄN</t>
        </is>
      </c>
      <c r="G161" t="inlineStr">
        <is>
          <t>FALKENBERG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46314</v>
      </c>
      <c r="F162" t="inlineStr">
        <is>
          <t>HALLANDS LÄN</t>
        </is>
      </c>
      <c r="G162" t="inlineStr">
        <is>
          <t>FALKENBERG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44811</v>
      </c>
      <c r="E163" s="1" t="n">
        <v>46314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46314</v>
      </c>
      <c r="F164" t="inlineStr">
        <is>
          <t>HALLANDS LÄN</t>
        </is>
      </c>
      <c r="G164" t="inlineStr">
        <is>
          <t>FALKENBERG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45272</v>
      </c>
      <c r="E165" s="1" t="n">
        <v>46314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46314</v>
      </c>
      <c r="F166" t="inlineStr">
        <is>
          <t>HALLANDS LÄN</t>
        </is>
      </c>
      <c r="G166" t="inlineStr">
        <is>
          <t>FALKENBERG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18813-2023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45044</v>
      </c>
      <c r="E167" s="1" t="n">
        <v>46314</v>
      </c>
      <c r="F167" t="inlineStr">
        <is>
          <t>HALLANDS LÄN</t>
        </is>
      </c>
      <c r="G167" t="inlineStr">
        <is>
          <t>FALKENBERG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46314</v>
      </c>
      <c r="F168" t="inlineStr">
        <is>
          <t>HALLANDS LÄN</t>
        </is>
      </c>
      <c r="G168" t="inlineStr">
        <is>
          <t>FALKENBERG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46314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46314</v>
      </c>
      <c r="F170" t="inlineStr">
        <is>
          <t>HALLANDS LÄN</t>
        </is>
      </c>
      <c r="G170" t="inlineStr">
        <is>
          <t>FALKENBERG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45575</v>
      </c>
      <c r="E171" s="1" t="n">
        <v>46314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46314</v>
      </c>
      <c r="F172" t="inlineStr">
        <is>
          <t>HALLANDS LÄN</t>
        </is>
      </c>
      <c r="G172" t="inlineStr">
        <is>
          <t>FALKENBERG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46314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46314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46314</v>
      </c>
      <c r="F175" t="inlineStr">
        <is>
          <t>HALLANDS LÄN</t>
        </is>
      </c>
      <c r="G175" t="inlineStr">
        <is>
          <t>FALKENBERG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46314</v>
      </c>
      <c r="F176" t="inlineStr">
        <is>
          <t>HALLANDS LÄN</t>
        </is>
      </c>
      <c r="G176" t="inlineStr">
        <is>
          <t>FALKENBERG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45770</v>
      </c>
      <c r="E177" s="1" t="n">
        <v>46314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46314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46314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46314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46314</v>
      </c>
      <c r="F181" t="inlineStr">
        <is>
          <t>HALLANDS LÄN</t>
        </is>
      </c>
      <c r="G181" t="inlineStr">
        <is>
          <t>FALKENBERG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46314</v>
      </c>
      <c r="F182" t="inlineStr">
        <is>
          <t>HALLANDS LÄN</t>
        </is>
      </c>
      <c r="G182" t="inlineStr">
        <is>
          <t>FALKENBERG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46314</v>
      </c>
      <c r="F183" t="inlineStr">
        <is>
          <t>HALLANDS LÄN</t>
        </is>
      </c>
      <c r="G183" t="inlineStr">
        <is>
          <t>FALKENBERG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46314</v>
      </c>
      <c r="F184" t="inlineStr">
        <is>
          <t>HALLANDS LÄN</t>
        </is>
      </c>
      <c r="G184" t="inlineStr">
        <is>
          <t>FALKENBERG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44687</v>
      </c>
      <c r="E185" s="1" t="n">
        <v>46314</v>
      </c>
      <c r="F185" t="inlineStr">
        <is>
          <t>HALLANDS LÄN</t>
        </is>
      </c>
      <c r="G185" t="inlineStr">
        <is>
          <t>FALKENBERG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46314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46314</v>
      </c>
      <c r="F187" t="inlineStr">
        <is>
          <t>HALLANDS LÄN</t>
        </is>
      </c>
      <c r="G187" t="inlineStr">
        <is>
          <t>FALKENBERG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46314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46314</v>
      </c>
      <c r="F189" t="inlineStr">
        <is>
          <t>HALLANDS LÄN</t>
        </is>
      </c>
      <c r="G189" t="inlineStr">
        <is>
          <t>FALKENBERG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60909-2022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44908</v>
      </c>
      <c r="E190" s="1" t="n">
        <v>46314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46314</v>
      </c>
      <c r="F191" t="inlineStr">
        <is>
          <t>HALLANDS LÄN</t>
        </is>
      </c>
      <c r="G191" t="inlineStr">
        <is>
          <t>FALKENBERG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44644</v>
      </c>
      <c r="E192" s="1" t="n">
        <v>46314</v>
      </c>
      <c r="F192" t="inlineStr">
        <is>
          <t>HALLANDS LÄN</t>
        </is>
      </c>
      <c r="G192" t="inlineStr">
        <is>
          <t>FALKENBERG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46314</v>
      </c>
      <c r="F193" t="inlineStr">
        <is>
          <t>HALLANDS LÄN</t>
        </is>
      </c>
      <c r="G193" t="inlineStr">
        <is>
          <t>FALKENBERG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45390</v>
      </c>
      <c r="E194" s="1" t="n">
        <v>46314</v>
      </c>
      <c r="F194" t="inlineStr">
        <is>
          <t>HALLANDS LÄN</t>
        </is>
      </c>
      <c r="G194" t="inlineStr">
        <is>
          <t>FALKENBERG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46314</v>
      </c>
      <c r="F195" t="inlineStr">
        <is>
          <t>HALLANDS LÄN</t>
        </is>
      </c>
      <c r="G195" t="inlineStr">
        <is>
          <t>FALKENBERG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46314</v>
      </c>
      <c r="F196" t="inlineStr">
        <is>
          <t>HALLANDS LÄN</t>
        </is>
      </c>
      <c r="G196" t="inlineStr">
        <is>
          <t>FALKENBERG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46314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46314</v>
      </c>
      <c r="F198" t="inlineStr">
        <is>
          <t>HALLANDS LÄN</t>
        </is>
      </c>
      <c r="G198" t="inlineStr">
        <is>
          <t>FALKENBERG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46314</v>
      </c>
      <c r="F199" t="inlineStr">
        <is>
          <t>HALLANDS LÄN</t>
        </is>
      </c>
      <c r="G199" t="inlineStr">
        <is>
          <t>FALKENBERG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45566</v>
      </c>
      <c r="E200" s="1" t="n">
        <v>46314</v>
      </c>
      <c r="F200" t="inlineStr">
        <is>
          <t>HALLANDS LÄN</t>
        </is>
      </c>
      <c r="G200" t="inlineStr">
        <is>
          <t>FALKENBERG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46314</v>
      </c>
      <c r="F201" t="inlineStr">
        <is>
          <t>HALLANDS LÄN</t>
        </is>
      </c>
      <c r="G201" t="inlineStr">
        <is>
          <t>FALKENBERG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44631</v>
      </c>
      <c r="E202" s="1" t="n">
        <v>46314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46314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44584</v>
      </c>
      <c r="E204" s="1" t="n">
        <v>46314</v>
      </c>
      <c r="F204" t="inlineStr">
        <is>
          <t>HALLANDS LÄN</t>
        </is>
      </c>
      <c r="G204" t="inlineStr">
        <is>
          <t>FALKENBERG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46314</v>
      </c>
      <c r="F205" t="inlineStr">
        <is>
          <t>HALLANDS LÄN</t>
        </is>
      </c>
      <c r="G205" t="inlineStr">
        <is>
          <t>FALKENBERG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42678-2025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46314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45350</v>
      </c>
      <c r="E207" s="1" t="n">
        <v>46314</v>
      </c>
      <c r="F207" t="inlineStr">
        <is>
          <t>HALLANDS LÄN</t>
        </is>
      </c>
      <c r="G207" t="inlineStr">
        <is>
          <t>FALKENBERG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46314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46314</v>
      </c>
      <c r="F209" t="inlineStr">
        <is>
          <t>HALLANDS LÄN</t>
        </is>
      </c>
      <c r="G209" t="inlineStr">
        <is>
          <t>FALKENBERG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21008-2026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46142</v>
      </c>
      <c r="E210" s="1" t="n">
        <v>46314</v>
      </c>
      <c r="F210" t="inlineStr">
        <is>
          <t>HALLANDS LÄN</t>
        </is>
      </c>
      <c r="G210" t="inlineStr">
        <is>
          <t>FALKENBERG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46314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46314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46314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45546</v>
      </c>
      <c r="E214" s="1" t="n">
        <v>46314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46314</v>
      </c>
      <c r="F215" t="inlineStr">
        <is>
          <t>HALLANDS LÄN</t>
        </is>
      </c>
      <c r="G215" t="inlineStr">
        <is>
          <t>FALKENBERG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46314</v>
      </c>
      <c r="F216" t="inlineStr">
        <is>
          <t>HALLANDS LÄN</t>
        </is>
      </c>
      <c r="G216" t="inlineStr">
        <is>
          <t>FALKENBERG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45645-2025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46314</v>
      </c>
      <c r="F217" t="inlineStr">
        <is>
          <t>HALLANDS LÄN</t>
        </is>
      </c>
      <c r="G217" t="inlineStr">
        <is>
          <t>FALKENBERG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46314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46314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46314</v>
      </c>
      <c r="F220" t="inlineStr">
        <is>
          <t>HALLANDS LÄN</t>
        </is>
      </c>
      <c r="G220" t="inlineStr">
        <is>
          <t>FALKENBERG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46314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46314</v>
      </c>
      <c r="F222" t="inlineStr">
        <is>
          <t>HALLANDS LÄN</t>
        </is>
      </c>
      <c r="G222" t="inlineStr">
        <is>
          <t>FALKENBERG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46314</v>
      </c>
      <c r="F223" t="inlineStr">
        <is>
          <t>HALLANDS LÄN</t>
        </is>
      </c>
      <c r="G223" t="inlineStr">
        <is>
          <t>FALKENBERG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46314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46314</v>
      </c>
      <c r="F225" t="inlineStr">
        <is>
          <t>HALLANDS LÄN</t>
        </is>
      </c>
      <c r="G225" t="inlineStr">
        <is>
          <t>FALKENBERG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46314</v>
      </c>
      <c r="F226" t="inlineStr">
        <is>
          <t>HALLANDS LÄN</t>
        </is>
      </c>
      <c r="G226" t="inlineStr">
        <is>
          <t>FALKENBERG</t>
        </is>
      </c>
      <c r="H226" t="inlineStr">
        <is>
          <t>Bergvik skog väst AB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46314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46314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46314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46314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46314</v>
      </c>
      <c r="F231" t="inlineStr">
        <is>
          <t>HALLANDS LÄN</t>
        </is>
      </c>
      <c r="G231" t="inlineStr">
        <is>
          <t>FALKENBERG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46314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45401</v>
      </c>
      <c r="E233" s="1" t="n">
        <v>46314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46314</v>
      </c>
      <c r="F234" t="inlineStr">
        <is>
          <t>HALLANDS LÄN</t>
        </is>
      </c>
      <c r="G234" t="inlineStr">
        <is>
          <t>FALKENBERG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45940</v>
      </c>
      <c r="E235" s="1" t="n">
        <v>46314</v>
      </c>
      <c r="F235" t="inlineStr">
        <is>
          <t>HALLANDS LÄN</t>
        </is>
      </c>
      <c r="G235" t="inlineStr">
        <is>
          <t>FALKENBERG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46314</v>
      </c>
      <c r="F236" t="inlineStr">
        <is>
          <t>HALLANDS LÄN</t>
        </is>
      </c>
      <c r="G236" t="inlineStr">
        <is>
          <t>FALKENBERG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46314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46314</v>
      </c>
      <c r="F238" t="inlineStr">
        <is>
          <t>HALLANDS LÄN</t>
        </is>
      </c>
      <c r="G238" t="inlineStr">
        <is>
          <t>FALKENBERG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46314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46314</v>
      </c>
      <c r="F240" t="inlineStr">
        <is>
          <t>HALLANDS LÄN</t>
        </is>
      </c>
      <c r="G240" t="inlineStr">
        <is>
          <t>FALKENBERG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46314</v>
      </c>
      <c r="F241" t="inlineStr">
        <is>
          <t>HALLANDS LÄN</t>
        </is>
      </c>
      <c r="G241" t="inlineStr">
        <is>
          <t>FALKENBERG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46314</v>
      </c>
      <c r="F242" t="inlineStr">
        <is>
          <t>HALLANDS LÄN</t>
        </is>
      </c>
      <c r="G242" t="inlineStr">
        <is>
          <t>FALKENBERG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46314</v>
      </c>
      <c r="F243" t="inlineStr">
        <is>
          <t>HALLANDS LÄN</t>
        </is>
      </c>
      <c r="G243" t="inlineStr">
        <is>
          <t>FALKENBERG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46314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46314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46314</v>
      </c>
      <c r="F246" t="inlineStr">
        <is>
          <t>HALLANDS LÄN</t>
        </is>
      </c>
      <c r="G246" t="inlineStr">
        <is>
          <t>FALKENBERG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46314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46314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46314</v>
      </c>
      <c r="F249" t="inlineStr">
        <is>
          <t>HALLANDS LÄN</t>
        </is>
      </c>
      <c r="G249" t="inlineStr">
        <is>
          <t>FALKENBERG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46314</v>
      </c>
      <c r="F250" t="inlineStr">
        <is>
          <t>HALLANDS LÄN</t>
        </is>
      </c>
      <c r="G250" t="inlineStr">
        <is>
          <t>FALKENBERG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46314</v>
      </c>
      <c r="F251" t="inlineStr">
        <is>
          <t>HALLANDS LÄN</t>
        </is>
      </c>
      <c r="G251" t="inlineStr">
        <is>
          <t>FALKENBERG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46314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46314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46314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46314</v>
      </c>
      <c r="F255" t="inlineStr">
        <is>
          <t>HALLANDS LÄN</t>
        </is>
      </c>
      <c r="G255" t="inlineStr">
        <is>
          <t>FALKENBERG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46314</v>
      </c>
      <c r="F256" t="inlineStr">
        <is>
          <t>HALLANDS LÄN</t>
        </is>
      </c>
      <c r="G256" t="inlineStr">
        <is>
          <t>FALKENBERG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46314</v>
      </c>
      <c r="F257" t="inlineStr">
        <is>
          <t>HALLANDS LÄN</t>
        </is>
      </c>
      <c r="G257" t="inlineStr">
        <is>
          <t>FALKENBERG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46314</v>
      </c>
      <c r="F258" t="inlineStr">
        <is>
          <t>HALLANDS LÄN</t>
        </is>
      </c>
      <c r="G258" t="inlineStr">
        <is>
          <t>FALKENBERG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46314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46314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46314</v>
      </c>
      <c r="F261" t="inlineStr">
        <is>
          <t>HALLANDS LÄN</t>
        </is>
      </c>
      <c r="G261" t="inlineStr">
        <is>
          <t>FALKENBERG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46314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46314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45482</v>
      </c>
      <c r="E264" s="1" t="n">
        <v>46314</v>
      </c>
      <c r="F264" t="inlineStr">
        <is>
          <t>HALLANDS LÄN</t>
        </is>
      </c>
      <c r="G264" t="inlineStr">
        <is>
          <t>FALKENBERG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46314</v>
      </c>
      <c r="F265" t="inlineStr">
        <is>
          <t>HALLANDS LÄN</t>
        </is>
      </c>
      <c r="G265" t="inlineStr">
        <is>
          <t>FALKENBERG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46314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46314</v>
      </c>
      <c r="F267" t="inlineStr">
        <is>
          <t>HALLANDS LÄN</t>
        </is>
      </c>
      <c r="G267" t="inlineStr">
        <is>
          <t>FALKENBERG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46314</v>
      </c>
      <c r="F268" t="inlineStr">
        <is>
          <t>HALLANDS LÄN</t>
        </is>
      </c>
      <c r="G268" t="inlineStr">
        <is>
          <t>FALKENBERG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46314</v>
      </c>
      <c r="F269" t="inlineStr">
        <is>
          <t>HALLANDS LÄN</t>
        </is>
      </c>
      <c r="G269" t="inlineStr">
        <is>
          <t>FALKENBERG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46314</v>
      </c>
      <c r="F270" t="inlineStr">
        <is>
          <t>HALLANDS LÄN</t>
        </is>
      </c>
      <c r="G270" t="inlineStr">
        <is>
          <t>FALKENBERG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46314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46314</v>
      </c>
      <c r="F272" t="inlineStr">
        <is>
          <t>HALLANDS LÄN</t>
        </is>
      </c>
      <c r="G272" t="inlineStr">
        <is>
          <t>FALKENBERG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46314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46314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46314</v>
      </c>
      <c r="F275" t="inlineStr">
        <is>
          <t>HALLANDS LÄN</t>
        </is>
      </c>
      <c r="G275" t="inlineStr">
        <is>
          <t>FALKENBERG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44986</v>
      </c>
      <c r="E276" s="1" t="n">
        <v>46314</v>
      </c>
      <c r="F276" t="inlineStr">
        <is>
          <t>HALLANDS LÄN</t>
        </is>
      </c>
      <c r="G276" t="inlineStr">
        <is>
          <t>FALKENBERG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46314</v>
      </c>
      <c r="F277" t="inlineStr">
        <is>
          <t>HALLANDS LÄN</t>
        </is>
      </c>
      <c r="G277" t="inlineStr">
        <is>
          <t>FALKENBERG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46314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46314</v>
      </c>
      <c r="F279" t="inlineStr">
        <is>
          <t>HALLANDS LÄN</t>
        </is>
      </c>
      <c r="G279" t="inlineStr">
        <is>
          <t>FALKENBERG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46314</v>
      </c>
      <c r="F280" t="inlineStr">
        <is>
          <t>HALLANDS LÄN</t>
        </is>
      </c>
      <c r="G280" t="inlineStr">
        <is>
          <t>FALKENBERG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46314</v>
      </c>
      <c r="F281" t="inlineStr">
        <is>
          <t>HALLANDS LÄN</t>
        </is>
      </c>
      <c r="G281" t="inlineStr">
        <is>
          <t>FALKENBERG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45580</v>
      </c>
      <c r="E282" s="1" t="n">
        <v>46314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55141-2025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45968</v>
      </c>
      <c r="E283" s="1" t="n">
        <v>46314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46314</v>
      </c>
      <c r="F284" t="inlineStr">
        <is>
          <t>HALLANDS LÄN</t>
        </is>
      </c>
      <c r="G284" t="inlineStr">
        <is>
          <t>FALKENBERG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46314</v>
      </c>
      <c r="F285" t="inlineStr">
        <is>
          <t>HALLANDS LÄN</t>
        </is>
      </c>
      <c r="G285" t="inlineStr">
        <is>
          <t>FALKENBERG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46314</v>
      </c>
      <c r="F286" t="inlineStr">
        <is>
          <t>HALLANDS LÄN</t>
        </is>
      </c>
      <c r="G286" t="inlineStr">
        <is>
          <t>FALKENBERG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46314</v>
      </c>
      <c r="F287" t="inlineStr">
        <is>
          <t>HALLANDS LÄN</t>
        </is>
      </c>
      <c r="G287" t="inlineStr">
        <is>
          <t>FALKENBERG</t>
        </is>
      </c>
      <c r="H287" t="inlineStr">
        <is>
          <t>Kyrkan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46314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46314</v>
      </c>
      <c r="F289" t="inlineStr">
        <is>
          <t>HALLANDS LÄN</t>
        </is>
      </c>
      <c r="G289" t="inlineStr">
        <is>
          <t>FALKENBERG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46314</v>
      </c>
      <c r="F290" t="inlineStr">
        <is>
          <t>HALLANDS LÄN</t>
        </is>
      </c>
      <c r="G290" t="inlineStr">
        <is>
          <t>FALKENBERG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71844-2021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44543</v>
      </c>
      <c r="E291" s="1" t="n">
        <v>46314</v>
      </c>
      <c r="F291" t="inlineStr">
        <is>
          <t>HALLANDS LÄN</t>
        </is>
      </c>
      <c r="G291" t="inlineStr">
        <is>
          <t>FALKENBERG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46314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46314</v>
      </c>
      <c r="F293" t="inlineStr">
        <is>
          <t>HALLANDS LÄN</t>
        </is>
      </c>
      <c r="G293" t="inlineStr">
        <is>
          <t>FALKENBERG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46314</v>
      </c>
      <c r="F294" t="inlineStr">
        <is>
          <t>HALLANDS LÄN</t>
        </is>
      </c>
      <c r="G294" t="inlineStr">
        <is>
          <t>FALKENBERG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46164</v>
      </c>
      <c r="E295" s="1" t="n">
        <v>46314</v>
      </c>
      <c r="F295" t="inlineStr">
        <is>
          <t>HALLANDS LÄN</t>
        </is>
      </c>
      <c r="G295" t="inlineStr">
        <is>
          <t>FALKENBERG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45414</v>
      </c>
      <c r="E296" s="1" t="n">
        <v>46314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46314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46314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46314</v>
      </c>
      <c r="F299" t="inlineStr">
        <is>
          <t>HALLANDS LÄN</t>
        </is>
      </c>
      <c r="G299" t="inlineStr">
        <is>
          <t>FALKENBERG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44622</v>
      </c>
      <c r="E300" s="1" t="n">
        <v>46314</v>
      </c>
      <c r="F300" t="inlineStr">
        <is>
          <t>HALLANDS LÄN</t>
        </is>
      </c>
      <c r="G300" t="inlineStr">
        <is>
          <t>FALKENBERG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46314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46166</v>
      </c>
      <c r="E302" s="1" t="n">
        <v>46314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46314</v>
      </c>
      <c r="F303" t="inlineStr">
        <is>
          <t>HALLANDS LÄN</t>
        </is>
      </c>
      <c r="G303" t="inlineStr">
        <is>
          <t>FALKENBERG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46314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46314</v>
      </c>
      <c r="F305" t="inlineStr">
        <is>
          <t>HALLANDS LÄN</t>
        </is>
      </c>
      <c r="G305" t="inlineStr">
        <is>
          <t>FALKENBERG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46314</v>
      </c>
      <c r="F306" t="inlineStr">
        <is>
          <t>HALLANDS LÄN</t>
        </is>
      </c>
      <c r="G306" t="inlineStr">
        <is>
          <t>FALKENBERG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46314</v>
      </c>
      <c r="F307" t="inlineStr">
        <is>
          <t>HALLANDS LÄN</t>
        </is>
      </c>
      <c r="G307" t="inlineStr">
        <is>
          <t>FALKENBERG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73973-2021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44554</v>
      </c>
      <c r="E308" s="1" t="n">
        <v>46314</v>
      </c>
      <c r="F308" t="inlineStr">
        <is>
          <t>HALLANDS LÄN</t>
        </is>
      </c>
      <c r="G308" t="inlineStr">
        <is>
          <t>FALKENBERG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46314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46314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46314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45644</v>
      </c>
      <c r="E312" s="1" t="n">
        <v>46314</v>
      </c>
      <c r="F312" t="inlineStr">
        <is>
          <t>HALLANDS LÄN</t>
        </is>
      </c>
      <c r="G312" t="inlineStr">
        <is>
          <t>FALKENBERG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45618</v>
      </c>
      <c r="E313" s="1" t="n">
        <v>46314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46314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46314</v>
      </c>
      <c r="F315" t="inlineStr">
        <is>
          <t>HALLANDS LÄN</t>
        </is>
      </c>
      <c r="G315" t="inlineStr">
        <is>
          <t>FALKENBERG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45300</v>
      </c>
      <c r="E316" s="1" t="n">
        <v>46314</v>
      </c>
      <c r="F316" t="inlineStr">
        <is>
          <t>HALLANDS LÄN</t>
        </is>
      </c>
      <c r="G316" t="inlineStr">
        <is>
          <t>FALKENBERG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46314</v>
      </c>
      <c r="F317" t="inlineStr">
        <is>
          <t>HALLANDS LÄN</t>
        </is>
      </c>
      <c r="G317" t="inlineStr">
        <is>
          <t>FALKENBERG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45188</v>
      </c>
      <c r="E318" s="1" t="n">
        <v>46314</v>
      </c>
      <c r="F318" t="inlineStr">
        <is>
          <t>HALLANDS LÄN</t>
        </is>
      </c>
      <c r="G318" t="inlineStr">
        <is>
          <t>FALKENBERG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46314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46314</v>
      </c>
      <c r="F320" t="inlineStr">
        <is>
          <t>HALLANDS LÄN</t>
        </is>
      </c>
      <c r="G320" t="inlineStr">
        <is>
          <t>FALKENBERG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46314</v>
      </c>
      <c r="F321" t="inlineStr">
        <is>
          <t>HALLANDS LÄN</t>
        </is>
      </c>
      <c r="G321" t="inlineStr">
        <is>
          <t>FALKENBERG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46314</v>
      </c>
      <c r="F322" t="inlineStr">
        <is>
          <t>HALLANDS LÄN</t>
        </is>
      </c>
      <c r="G322" t="inlineStr">
        <is>
          <t>FALKENBERG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46314</v>
      </c>
      <c r="F323" t="inlineStr">
        <is>
          <t>HALLANDS LÄN</t>
        </is>
      </c>
      <c r="G323" t="inlineStr">
        <is>
          <t>FALKENBERG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46314</v>
      </c>
      <c r="F324" t="inlineStr">
        <is>
          <t>HALLANDS LÄN</t>
        </is>
      </c>
      <c r="G324" t="inlineStr">
        <is>
          <t>FALKENBERG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46004</v>
      </c>
      <c r="E325" s="1" t="n">
        <v>46314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46314</v>
      </c>
      <c r="F326" t="inlineStr">
        <is>
          <t>HALLANDS LÄN</t>
        </is>
      </c>
      <c r="G326" t="inlineStr">
        <is>
          <t>FALKENBERG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46314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8349-2022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44610</v>
      </c>
      <c r="E328" s="1" t="n">
        <v>46314</v>
      </c>
      <c r="F328" t="inlineStr">
        <is>
          <t>HALLANDS LÄN</t>
        </is>
      </c>
      <c r="G328" t="inlineStr">
        <is>
          <t>FALKENBERG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46314</v>
      </c>
      <c r="F329" t="inlineStr">
        <is>
          <t>HALLANDS LÄN</t>
        </is>
      </c>
      <c r="G329" t="inlineStr">
        <is>
          <t>FALKENBERG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44740</v>
      </c>
      <c r="E330" s="1" t="n">
        <v>46314</v>
      </c>
      <c r="F330" t="inlineStr">
        <is>
          <t>HALLANDS LÄN</t>
        </is>
      </c>
      <c r="G330" t="inlineStr">
        <is>
          <t>FALKENBERG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46172</v>
      </c>
      <c r="E331" s="1" t="n">
        <v>46314</v>
      </c>
      <c r="F331" t="inlineStr">
        <is>
          <t>HALLANDS LÄN</t>
        </is>
      </c>
      <c r="G331" t="inlineStr">
        <is>
          <t>FALKENBERG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56925-2024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45628</v>
      </c>
      <c r="E332" s="1" t="n">
        <v>46314</v>
      </c>
      <c r="F332" t="inlineStr">
        <is>
          <t>HALLANDS LÄN</t>
        </is>
      </c>
      <c r="G332" t="inlineStr">
        <is>
          <t>FALKENBERG</t>
        </is>
      </c>
      <c r="H332" t="inlineStr">
        <is>
          <t>Kommuner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45048</v>
      </c>
      <c r="E333" s="1" t="n">
        <v>46314</v>
      </c>
      <c r="F333" t="inlineStr">
        <is>
          <t>HALLANDS LÄN</t>
        </is>
      </c>
      <c r="G333" t="inlineStr">
        <is>
          <t>FALKENBERG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46314</v>
      </c>
      <c r="F334" t="inlineStr">
        <is>
          <t>HALLANDS LÄN</t>
        </is>
      </c>
      <c r="G334" t="inlineStr">
        <is>
          <t>FALKENBERG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46314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46314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46314</v>
      </c>
      <c r="F337" t="inlineStr">
        <is>
          <t>HALLANDS LÄN</t>
        </is>
      </c>
      <c r="G337" t="inlineStr">
        <is>
          <t>FALKENBERG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44827</v>
      </c>
      <c r="E338" s="1" t="n">
        <v>46314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46314</v>
      </c>
      <c r="F339" t="inlineStr">
        <is>
          <t>HALLANDS LÄN</t>
        </is>
      </c>
      <c r="G339" t="inlineStr">
        <is>
          <t>FALKENBERG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46314</v>
      </c>
      <c r="F340" t="inlineStr">
        <is>
          <t>HALLANDS LÄN</t>
        </is>
      </c>
      <c r="G340" t="inlineStr">
        <is>
          <t>FALKENBERG</t>
        </is>
      </c>
      <c r="H340" t="inlineStr">
        <is>
          <t>Naturvårdsverket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46314</v>
      </c>
      <c r="F341" t="inlineStr">
        <is>
          <t>HALLANDS LÄN</t>
        </is>
      </c>
      <c r="G341" t="inlineStr">
        <is>
          <t>FALKENBERG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46314</v>
      </c>
      <c r="F342" t="inlineStr">
        <is>
          <t>HALLANDS LÄN</t>
        </is>
      </c>
      <c r="G342" t="inlineStr">
        <is>
          <t>FALKENBERG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42319-2022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44831</v>
      </c>
      <c r="E343" s="1" t="n">
        <v>46314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45138</v>
      </c>
      <c r="E344" s="1" t="n">
        <v>46314</v>
      </c>
      <c r="F344" t="inlineStr">
        <is>
          <t>HALLANDS LÄN</t>
        </is>
      </c>
      <c r="G344" t="inlineStr">
        <is>
          <t>FALKENBERG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45326</v>
      </c>
      <c r="E345" s="1" t="n">
        <v>46314</v>
      </c>
      <c r="F345" t="inlineStr">
        <is>
          <t>HALLANDS LÄN</t>
        </is>
      </c>
      <c r="G345" t="inlineStr">
        <is>
          <t>FALKENBERG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46314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46314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45751</v>
      </c>
      <c r="E348" s="1" t="n">
        <v>46314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25859-2026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46314</v>
      </c>
      <c r="F349" t="inlineStr">
        <is>
          <t>HALLANDS LÄN</t>
        </is>
      </c>
      <c r="G349" t="inlineStr">
        <is>
          <t>FALKENBERG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70848-2021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44538</v>
      </c>
      <c r="E350" s="1" t="n">
        <v>46314</v>
      </c>
      <c r="F350" t="inlineStr">
        <is>
          <t>HALLANDS LÄN</t>
        </is>
      </c>
      <c r="G350" t="inlineStr">
        <is>
          <t>FALKENBERG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46314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1277-2025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45667</v>
      </c>
      <c r="E352" s="1" t="n">
        <v>46314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46314</v>
      </c>
      <c r="F353" t="inlineStr">
        <is>
          <t>HALLANDS LÄN</t>
        </is>
      </c>
      <c r="G353" t="inlineStr">
        <is>
          <t>FALKENBERG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44652</v>
      </c>
      <c r="E354" s="1" t="n">
        <v>46314</v>
      </c>
      <c r="F354" t="inlineStr">
        <is>
          <t>HALLANDS LÄN</t>
        </is>
      </c>
      <c r="G354" t="inlineStr">
        <is>
          <t>FALKENBERG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46314</v>
      </c>
      <c r="F355" t="inlineStr">
        <is>
          <t>HALLANDS LÄN</t>
        </is>
      </c>
      <c r="G355" t="inlineStr">
        <is>
          <t>FALKENBERG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46314</v>
      </c>
      <c r="F356" t="inlineStr">
        <is>
          <t>HALLANDS LÄN</t>
        </is>
      </c>
      <c r="G356" t="inlineStr">
        <is>
          <t>FALKENBERG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46314</v>
      </c>
      <c r="F357" t="inlineStr">
        <is>
          <t>HALLANDS LÄN</t>
        </is>
      </c>
      <c r="G357" t="inlineStr">
        <is>
          <t>FALKENBERG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46314</v>
      </c>
      <c r="F358" t="inlineStr">
        <is>
          <t>HALLANDS LÄN</t>
        </is>
      </c>
      <c r="G358" t="inlineStr">
        <is>
          <t>FALKENBERG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46314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46314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46314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46314</v>
      </c>
      <c r="F362" t="inlineStr">
        <is>
          <t>HALLANDS LÄN</t>
        </is>
      </c>
      <c r="G362" t="inlineStr">
        <is>
          <t>FALKENBERG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46314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46314</v>
      </c>
      <c r="F364" t="inlineStr">
        <is>
          <t>HALLANDS LÄN</t>
        </is>
      </c>
      <c r="G364" t="inlineStr">
        <is>
          <t>FALKENBERG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46314</v>
      </c>
      <c r="F365" t="inlineStr">
        <is>
          <t>HALLANDS LÄN</t>
        </is>
      </c>
      <c r="G365" t="inlineStr">
        <is>
          <t>FALKENBERG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46314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46314</v>
      </c>
      <c r="F367" t="inlineStr">
        <is>
          <t>HALLANDS LÄN</t>
        </is>
      </c>
      <c r="G367" t="inlineStr">
        <is>
          <t>FALKENBERG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54606-2025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45966</v>
      </c>
      <c r="E368" s="1" t="n">
        <v>46314</v>
      </c>
      <c r="F368" t="inlineStr">
        <is>
          <t>HALLANDS LÄN</t>
        </is>
      </c>
      <c r="G368" t="inlineStr">
        <is>
          <t>FALKENBERG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44986</v>
      </c>
      <c r="E369" s="1" t="n">
        <v>46314</v>
      </c>
      <c r="F369" t="inlineStr">
        <is>
          <t>HALLANDS LÄN</t>
        </is>
      </c>
      <c r="G369" t="inlineStr">
        <is>
          <t>FALKENBERG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46314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45391</v>
      </c>
      <c r="E371" s="1" t="n">
        <v>46314</v>
      </c>
      <c r="F371" t="inlineStr">
        <is>
          <t>HALLANDS LÄN</t>
        </is>
      </c>
      <c r="G371" t="inlineStr">
        <is>
          <t>FALKENBERG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46314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46314</v>
      </c>
      <c r="F373" t="inlineStr">
        <is>
          <t>HALLANDS LÄN</t>
        </is>
      </c>
      <c r="G373" t="inlineStr">
        <is>
          <t>FALKENBERG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45300</v>
      </c>
      <c r="E374" s="1" t="n">
        <v>46314</v>
      </c>
      <c r="F374" t="inlineStr">
        <is>
          <t>HALLANDS LÄN</t>
        </is>
      </c>
      <c r="G374" t="inlineStr">
        <is>
          <t>FALKENBERG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46314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46314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46314</v>
      </c>
      <c r="F377" t="inlineStr">
        <is>
          <t>HALLANDS LÄN</t>
        </is>
      </c>
      <c r="G377" t="inlineStr">
        <is>
          <t>FALKENBERG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46314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46314</v>
      </c>
      <c r="F379" t="inlineStr">
        <is>
          <t>HALLANDS LÄN</t>
        </is>
      </c>
      <c r="G379" t="inlineStr">
        <is>
          <t>FALKENBERG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46314</v>
      </c>
      <c r="F380" t="inlineStr">
        <is>
          <t>HALLANDS LÄN</t>
        </is>
      </c>
      <c r="G380" t="inlineStr">
        <is>
          <t>FALKENBERG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46314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45174</v>
      </c>
      <c r="E382" s="1" t="n">
        <v>46314</v>
      </c>
      <c r="F382" t="inlineStr">
        <is>
          <t>HALLANDS LÄN</t>
        </is>
      </c>
      <c r="G382" t="inlineStr">
        <is>
          <t>FALKENBERG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45624</v>
      </c>
      <c r="E383" s="1" t="n">
        <v>46314</v>
      </c>
      <c r="F383" t="inlineStr">
        <is>
          <t>HALLANDS LÄN</t>
        </is>
      </c>
      <c r="G383" t="inlineStr">
        <is>
          <t>FALKENBERG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46314</v>
      </c>
      <c r="F384" t="inlineStr">
        <is>
          <t>HALLANDS LÄN</t>
        </is>
      </c>
      <c r="G384" t="inlineStr">
        <is>
          <t>FALKENBERG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46082</v>
      </c>
      <c r="E385" s="1" t="n">
        <v>46314</v>
      </c>
      <c r="F385" t="inlineStr">
        <is>
          <t>HALLANDS LÄN</t>
        </is>
      </c>
      <c r="G385" t="inlineStr">
        <is>
          <t>FALKENBERG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46314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46314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45055</v>
      </c>
      <c r="E388" s="1" t="n">
        <v>46314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46314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44656</v>
      </c>
      <c r="E390" s="1" t="n">
        <v>46314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46314</v>
      </c>
      <c r="F391" t="inlineStr">
        <is>
          <t>HALLANDS LÄN</t>
        </is>
      </c>
      <c r="G391" t="inlineStr">
        <is>
          <t>FALKENBERG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46314</v>
      </c>
      <c r="F392" t="inlineStr">
        <is>
          <t>HALLANDS LÄN</t>
        </is>
      </c>
      <c r="G392" t="inlineStr">
        <is>
          <t>FALKENBERG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63310-2023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45274</v>
      </c>
      <c r="E393" s="1" t="n">
        <v>46314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45914-2022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44846</v>
      </c>
      <c r="E394" s="1" t="n">
        <v>46314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46314</v>
      </c>
      <c r="F395" t="inlineStr">
        <is>
          <t>HALLANDS LÄN</t>
        </is>
      </c>
      <c r="G395" t="inlineStr">
        <is>
          <t>FALKENBERG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45643</v>
      </c>
      <c r="E396" s="1" t="n">
        <v>46314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45345</v>
      </c>
      <c r="E397" s="1" t="n">
        <v>46314</v>
      </c>
      <c r="F397" t="inlineStr">
        <is>
          <t>HALLANDS LÄN</t>
        </is>
      </c>
      <c r="G397" t="inlineStr">
        <is>
          <t>FALKENBERG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46314</v>
      </c>
      <c r="F398" t="inlineStr">
        <is>
          <t>HALLANDS LÄN</t>
        </is>
      </c>
      <c r="G398" t="inlineStr">
        <is>
          <t>FALKENBERG</t>
        </is>
      </c>
      <c r="I398" t="n">
        <v>10.8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15513-2026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46314</v>
      </c>
      <c r="F399" t="inlineStr">
        <is>
          <t>HALLANDS LÄN</t>
        </is>
      </c>
      <c r="G399" t="inlineStr">
        <is>
          <t>FALKENBERG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46314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46314</v>
      </c>
      <c r="F401" t="inlineStr">
        <is>
          <t>HALLANDS LÄN</t>
        </is>
      </c>
      <c r="G401" t="inlineStr">
        <is>
          <t>FALKENBERG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46314</v>
      </c>
      <c r="F402" t="inlineStr">
        <is>
          <t>HALLANDS LÄN</t>
        </is>
      </c>
      <c r="G402" t="inlineStr">
        <is>
          <t>FALKENBERG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61546-2022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44916</v>
      </c>
      <c r="E403" s="1" t="n">
        <v>46314</v>
      </c>
      <c r="F403" t="inlineStr">
        <is>
          <t>HALLANDS LÄN</t>
        </is>
      </c>
      <c r="G403" t="inlineStr">
        <is>
          <t>FALKENBERG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46314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17484-2026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46120</v>
      </c>
      <c r="E405" s="1" t="n">
        <v>46314</v>
      </c>
      <c r="F405" t="inlineStr">
        <is>
          <t>HALLANDS LÄN</t>
        </is>
      </c>
      <c r="G405" t="inlineStr">
        <is>
          <t>FALKENBERG</t>
        </is>
      </c>
      <c r="H405" t="inlineStr">
        <is>
          <t>Övriga Aktiebolag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46314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46314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44946</v>
      </c>
      <c r="E408" s="1" t="n">
        <v>46314</v>
      </c>
      <c r="F408" t="inlineStr">
        <is>
          <t>HALLANDS LÄN</t>
        </is>
      </c>
      <c r="G408" t="inlineStr">
        <is>
          <t>FALKENBERG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46314</v>
      </c>
      <c r="F409" t="inlineStr">
        <is>
          <t>HALLANDS LÄN</t>
        </is>
      </c>
      <c r="G409" t="inlineStr">
        <is>
          <t>FALKENBERG</t>
        </is>
      </c>
      <c r="H409" t="inlineStr">
        <is>
          <t>Bergvik skog väst AB</t>
        </is>
      </c>
      <c r="I409" t="n">
        <v>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45058</v>
      </c>
      <c r="E410" s="1" t="n">
        <v>46314</v>
      </c>
      <c r="F410" t="inlineStr">
        <is>
          <t>HALLANDS LÄN</t>
        </is>
      </c>
      <c r="G410" t="inlineStr">
        <is>
          <t>FALKENBERG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72470-2021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44545</v>
      </c>
      <c r="E411" s="1" t="n">
        <v>46314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46200</v>
      </c>
      <c r="E412" s="1" t="n">
        <v>46314</v>
      </c>
      <c r="F412" t="inlineStr">
        <is>
          <t>HALLANDS LÄN</t>
        </is>
      </c>
      <c r="G412" t="inlineStr">
        <is>
          <t>FALKENBERG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46314</v>
      </c>
      <c r="F413" t="inlineStr">
        <is>
          <t>HALLANDS LÄN</t>
        </is>
      </c>
      <c r="G413" t="inlineStr">
        <is>
          <t>FALKENBERG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45384</v>
      </c>
      <c r="E414" s="1" t="n">
        <v>46314</v>
      </c>
      <c r="F414" t="inlineStr">
        <is>
          <t>HALLANDS LÄN</t>
        </is>
      </c>
      <c r="G414" t="inlineStr">
        <is>
          <t>FALKENBERG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46314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46314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46314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46314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45105</v>
      </c>
      <c r="E419" s="1" t="n">
        <v>46314</v>
      </c>
      <c r="F419" t="inlineStr">
        <is>
          <t>HALLANDS LÄN</t>
        </is>
      </c>
      <c r="G419" t="inlineStr">
        <is>
          <t>FALKENBERG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46314</v>
      </c>
      <c r="F420" t="inlineStr">
        <is>
          <t>HALLANDS LÄN</t>
        </is>
      </c>
      <c r="G420" t="inlineStr">
        <is>
          <t>FALKENBERG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46314</v>
      </c>
      <c r="F421" t="inlineStr">
        <is>
          <t>HALLANDS LÄN</t>
        </is>
      </c>
      <c r="G421" t="inlineStr">
        <is>
          <t>FALKENBERG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46314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46314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46314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46314</v>
      </c>
      <c r="F425" t="inlineStr">
        <is>
          <t>HALLANDS LÄN</t>
        </is>
      </c>
      <c r="G425" t="inlineStr">
        <is>
          <t>FALKENBERG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45377</v>
      </c>
      <c r="E426" s="1" t="n">
        <v>46314</v>
      </c>
      <c r="F426" t="inlineStr">
        <is>
          <t>HALLANDS LÄN</t>
        </is>
      </c>
      <c r="G426" t="inlineStr">
        <is>
          <t>FALKENBERG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46314</v>
      </c>
      <c r="F427" t="inlineStr">
        <is>
          <t>HALLANDS LÄN</t>
        </is>
      </c>
      <c r="G427" t="inlineStr">
        <is>
          <t>FALKENBERG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45400</v>
      </c>
      <c r="E428" s="1" t="n">
        <v>46314</v>
      </c>
      <c r="F428" t="inlineStr">
        <is>
          <t>HALLANDS LÄN</t>
        </is>
      </c>
      <c r="G428" t="inlineStr">
        <is>
          <t>FALKENBERG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45856</v>
      </c>
      <c r="E429" s="1" t="n">
        <v>46314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55876-2023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45239</v>
      </c>
      <c r="E430" s="1" t="n">
        <v>46314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46314</v>
      </c>
      <c r="F431" t="inlineStr">
        <is>
          <t>HALLANDS LÄN</t>
        </is>
      </c>
      <c r="G431" t="inlineStr">
        <is>
          <t>FALKENBERG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45762</v>
      </c>
      <c r="E432" s="1" t="n">
        <v>46314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45244</v>
      </c>
      <c r="E433" s="1" t="n">
        <v>46314</v>
      </c>
      <c r="F433" t="inlineStr">
        <is>
          <t>HALLANDS LÄN</t>
        </is>
      </c>
      <c r="G433" t="inlineStr">
        <is>
          <t>FALKENBERG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44692</v>
      </c>
      <c r="E434" s="1" t="n">
        <v>46314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37150-2022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44806</v>
      </c>
      <c r="E435" s="1" t="n">
        <v>46314</v>
      </c>
      <c r="F435" t="inlineStr">
        <is>
          <t>HALLANDS LÄN</t>
        </is>
      </c>
      <c r="G435" t="inlineStr">
        <is>
          <t>FALKENBERG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49760-2023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45212</v>
      </c>
      <c r="E436" s="1" t="n">
        <v>46314</v>
      </c>
      <c r="F436" t="inlineStr">
        <is>
          <t>HALLANDS LÄN</t>
        </is>
      </c>
      <c r="G436" t="inlineStr">
        <is>
          <t>FALKENBERG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45212</v>
      </c>
      <c r="E437" s="1" t="n">
        <v>46314</v>
      </c>
      <c r="F437" t="inlineStr">
        <is>
          <t>HALLANDS LÄN</t>
        </is>
      </c>
      <c r="G437" t="inlineStr">
        <is>
          <t>FALKENBERG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46314</v>
      </c>
      <c r="F438" t="inlineStr">
        <is>
          <t>HALLANDS LÄN</t>
        </is>
      </c>
      <c r="G438" t="inlineStr">
        <is>
          <t>FALKENBERG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46314</v>
      </c>
      <c r="F439" t="inlineStr">
        <is>
          <t>HALLANDS LÄN</t>
        </is>
      </c>
      <c r="G439" t="inlineStr">
        <is>
          <t>FALKENBERG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30790-2026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46212</v>
      </c>
      <c r="E440" s="1" t="n">
        <v>46314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46212</v>
      </c>
      <c r="E441" s="1" t="n">
        <v>46314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30715-2026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46211</v>
      </c>
      <c r="E442" s="1" t="n">
        <v>46314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45351</v>
      </c>
      <c r="E443" s="1" t="n">
        <v>46314</v>
      </c>
      <c r="F443" t="inlineStr">
        <is>
          <t>HALLANDS LÄN</t>
        </is>
      </c>
      <c r="G443" t="inlineStr">
        <is>
          <t>FALKENBERG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46314</v>
      </c>
      <c r="F444" t="inlineStr">
        <is>
          <t>HALLANDS LÄN</t>
        </is>
      </c>
      <c r="G444" t="inlineStr">
        <is>
          <t>FALKENBERG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46314</v>
      </c>
      <c r="F445" t="inlineStr">
        <is>
          <t>HALLANDS LÄN</t>
        </is>
      </c>
      <c r="G445" t="inlineStr">
        <is>
          <t>FALKENBERG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44602</v>
      </c>
      <c r="E446" s="1" t="n">
        <v>46314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46217</v>
      </c>
      <c r="E447" s="1" t="n">
        <v>46314</v>
      </c>
      <c r="F447" t="inlineStr">
        <is>
          <t>HALLANDS LÄN</t>
        </is>
      </c>
      <c r="G447" t="inlineStr">
        <is>
          <t>FALKENBERG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44963-2024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45575</v>
      </c>
      <c r="E448" s="1" t="n">
        <v>46314</v>
      </c>
      <c r="F448" t="inlineStr">
        <is>
          <t>HALLANDS LÄN</t>
        </is>
      </c>
      <c r="G448" t="inlineStr">
        <is>
          <t>FALKENBERG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45627</v>
      </c>
      <c r="E449" s="1" t="n">
        <v>46314</v>
      </c>
      <c r="F449" t="inlineStr">
        <is>
          <t>HALLANDS LÄN</t>
        </is>
      </c>
      <c r="G449" t="inlineStr">
        <is>
          <t>FALKENBERG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45474</v>
      </c>
      <c r="E450" s="1" t="n">
        <v>46314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46314</v>
      </c>
      <c r="F451" t="inlineStr">
        <is>
          <t>HALLANDS LÄN</t>
        </is>
      </c>
      <c r="G451" t="inlineStr">
        <is>
          <t>FALKENBERG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46225</v>
      </c>
      <c r="E452" s="1" t="n">
        <v>46314</v>
      </c>
      <c r="F452" t="inlineStr">
        <is>
          <t>HALLANDS LÄN</t>
        </is>
      </c>
      <c r="G452" t="inlineStr">
        <is>
          <t>FALKENBERG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31856-2023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46314</v>
      </c>
      <c r="F453" t="inlineStr">
        <is>
          <t>HALLANDS LÄN</t>
        </is>
      </c>
      <c r="G453" t="inlineStr">
        <is>
          <t>FALKENBERG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45247</v>
      </c>
      <c r="E454" s="1" t="n">
        <v>46314</v>
      </c>
      <c r="F454" t="inlineStr">
        <is>
          <t>HALLANDS LÄN</t>
        </is>
      </c>
      <c r="G454" t="inlineStr">
        <is>
          <t>FALKENBERG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45601</v>
      </c>
      <c r="E455" s="1" t="n">
        <v>46314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46314</v>
      </c>
      <c r="F456" t="inlineStr">
        <is>
          <t>HALLANDS LÄN</t>
        </is>
      </c>
      <c r="G456" t="inlineStr">
        <is>
          <t>FALKENBERG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45300</v>
      </c>
      <c r="E457" s="1" t="n">
        <v>46314</v>
      </c>
      <c r="F457" t="inlineStr">
        <is>
          <t>HALLANDS LÄN</t>
        </is>
      </c>
      <c r="G457" t="inlineStr">
        <is>
          <t>FALKENBERG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46272</v>
      </c>
      <c r="E458" s="1" t="n">
        <v>46314</v>
      </c>
      <c r="F458" t="inlineStr">
        <is>
          <t>HALLANDS LÄN</t>
        </is>
      </c>
      <c r="G458" t="inlineStr">
        <is>
          <t>FALKENBERG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46314</v>
      </c>
      <c r="F459" t="inlineStr">
        <is>
          <t>HALLANDS LÄN</t>
        </is>
      </c>
      <c r="G459" t="inlineStr">
        <is>
          <t>FALKENBERG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46314</v>
      </c>
      <c r="F460" t="inlineStr">
        <is>
          <t>HALLANDS LÄN</t>
        </is>
      </c>
      <c r="G460" t="inlineStr">
        <is>
          <t>FALKENBERG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46314</v>
      </c>
      <c r="F461" t="inlineStr">
        <is>
          <t>HALLANDS LÄN</t>
        </is>
      </c>
      <c r="G461" t="inlineStr">
        <is>
          <t>FALKENBERG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46314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7203-2025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45702</v>
      </c>
      <c r="E463" s="1" t="n">
        <v>46314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45252</v>
      </c>
      <c r="E464" s="1" t="n">
        <v>46314</v>
      </c>
      <c r="F464" t="inlineStr">
        <is>
          <t>HALLANDS LÄN</t>
        </is>
      </c>
      <c r="G464" t="inlineStr">
        <is>
          <t>FALKENBERG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46314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55878-2023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45239</v>
      </c>
      <c r="E466" s="1" t="n">
        <v>46314</v>
      </c>
      <c r="F466" t="inlineStr">
        <is>
          <t>HALLANDS LÄN</t>
        </is>
      </c>
      <c r="G466" t="inlineStr">
        <is>
          <t>FALKENBERG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46314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46314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45680</v>
      </c>
      <c r="E469" s="1" t="n">
        <v>46314</v>
      </c>
      <c r="F469" t="inlineStr">
        <is>
          <t>HALLANDS LÄN</t>
        </is>
      </c>
      <c r="G469" t="inlineStr">
        <is>
          <t>FALKENBERG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46314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44954-2023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45190</v>
      </c>
      <c r="E471" s="1" t="n">
        <v>46314</v>
      </c>
      <c r="F471" t="inlineStr">
        <is>
          <t>HALLANDS LÄN</t>
        </is>
      </c>
      <c r="G471" t="inlineStr">
        <is>
          <t>FALKENBERG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46314</v>
      </c>
      <c r="F472" t="inlineStr">
        <is>
          <t>HALLANDS LÄN</t>
        </is>
      </c>
      <c r="G472" t="inlineStr">
        <is>
          <t>FALKENBERG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44966</v>
      </c>
      <c r="E473" s="1" t="n">
        <v>46314</v>
      </c>
      <c r="F473" t="inlineStr">
        <is>
          <t>HALLANDS LÄN</t>
        </is>
      </c>
      <c r="G473" t="inlineStr">
        <is>
          <t>FALKENBERG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46314</v>
      </c>
      <c r="F474" t="inlineStr">
        <is>
          <t>HALLANDS LÄN</t>
        </is>
      </c>
      <c r="G474" t="inlineStr">
        <is>
          <t>FALKENBERG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46314</v>
      </c>
      <c r="F475" t="inlineStr">
        <is>
          <t>HALLANDS LÄN</t>
        </is>
      </c>
      <c r="G475" t="inlineStr">
        <is>
          <t>FALKENBERG</t>
        </is>
      </c>
      <c r="I475" t="n">
        <v>29.4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45597</v>
      </c>
      <c r="E476" s="1" t="n">
        <v>46314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46282</v>
      </c>
      <c r="E477" s="1" t="n">
        <v>46314</v>
      </c>
      <c r="F477" t="inlineStr">
        <is>
          <t>HALLANDS LÄN</t>
        </is>
      </c>
      <c r="G477" t="inlineStr">
        <is>
          <t>FALKENBERG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46314</v>
      </c>
      <c r="F478" t="inlineStr">
        <is>
          <t>HALLANDS LÄN</t>
        </is>
      </c>
      <c r="G478" t="inlineStr">
        <is>
          <t>FALKENBERG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38498-2026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46282</v>
      </c>
      <c r="E479" s="1" t="n">
        <v>46314</v>
      </c>
      <c r="F479" t="inlineStr">
        <is>
          <t>HALLANDS LÄN</t>
        </is>
      </c>
      <c r="G479" t="inlineStr">
        <is>
          <t>FALKENBERG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46314</v>
      </c>
      <c r="F480" t="inlineStr">
        <is>
          <t>HALLANDS LÄN</t>
        </is>
      </c>
      <c r="G480" t="inlineStr">
        <is>
          <t>FALKENBERG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46314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46314</v>
      </c>
      <c r="F482" t="inlineStr">
        <is>
          <t>HALLANDS LÄN</t>
        </is>
      </c>
      <c r="G482" t="inlineStr">
        <is>
          <t>FALKENBERG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46314</v>
      </c>
      <c r="F483" t="inlineStr">
        <is>
          <t>HALLANDS LÄN</t>
        </is>
      </c>
      <c r="G483" t="inlineStr">
        <is>
          <t>FALKENBERG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12606-2024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45381</v>
      </c>
      <c r="E484" s="1" t="n">
        <v>46314</v>
      </c>
      <c r="F484" t="inlineStr">
        <is>
          <t>HALLANDS LÄN</t>
        </is>
      </c>
      <c r="G484" t="inlineStr">
        <is>
          <t>FALKENBERG</t>
        </is>
      </c>
      <c r="I484" t="n">
        <v>14.4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45127</v>
      </c>
      <c r="E485" s="1" t="n">
        <v>46314</v>
      </c>
      <c r="F485" t="inlineStr">
        <is>
          <t>HALLANDS LÄN</t>
        </is>
      </c>
      <c r="G485" t="inlineStr">
        <is>
          <t>FALKENBERG</t>
        </is>
      </c>
      <c r="H485" t="inlineStr">
        <is>
          <t>Kommuner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53400-2023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45229</v>
      </c>
      <c r="E486" s="1" t="n">
        <v>46314</v>
      </c>
      <c r="F486" t="inlineStr">
        <is>
          <t>HALLANDS LÄN</t>
        </is>
      </c>
      <c r="G486" t="inlineStr">
        <is>
          <t>FALKENBERG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45282</v>
      </c>
      <c r="E487" s="1" t="n">
        <v>46314</v>
      </c>
      <c r="F487" t="inlineStr">
        <is>
          <t>HALLANDS LÄN</t>
        </is>
      </c>
      <c r="G487" t="inlineStr">
        <is>
          <t>FALKENBERG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45142</v>
      </c>
      <c r="E488" s="1" t="n">
        <v>46314</v>
      </c>
      <c r="F488" t="inlineStr">
        <is>
          <t>HALLANDS LÄN</t>
        </is>
      </c>
      <c r="G488" t="inlineStr">
        <is>
          <t>FALKENBERG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45035</v>
      </c>
      <c r="E489" s="1" t="n">
        <v>46314</v>
      </c>
      <c r="F489" t="inlineStr">
        <is>
          <t>HALLANDS LÄN</t>
        </is>
      </c>
      <c r="G489" t="inlineStr">
        <is>
          <t>FALKENBERG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46314</v>
      </c>
      <c r="F490" t="inlineStr">
        <is>
          <t>HALLANDS LÄN</t>
        </is>
      </c>
      <c r="G490" t="inlineStr">
        <is>
          <t>FALKENBERG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46314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46314</v>
      </c>
      <c r="F492" t="inlineStr">
        <is>
          <t>HALLANDS LÄN</t>
        </is>
      </c>
      <c r="G492" t="inlineStr">
        <is>
          <t>FALKENBERG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45664</v>
      </c>
      <c r="E493" s="1" t="n">
        <v>46314</v>
      </c>
      <c r="F493" t="inlineStr">
        <is>
          <t>HALLANDS LÄN</t>
        </is>
      </c>
      <c r="G493" t="inlineStr">
        <is>
          <t>FALKENBERG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10746-2022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44627</v>
      </c>
      <c r="E494" s="1" t="n">
        <v>46314</v>
      </c>
      <c r="F494" t="inlineStr">
        <is>
          <t>HALLANDS LÄN</t>
        </is>
      </c>
      <c r="G494" t="inlineStr">
        <is>
          <t>FALKENBERG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45001</v>
      </c>
      <c r="E495" s="1" t="n">
        <v>46314</v>
      </c>
      <c r="F495" t="inlineStr">
        <is>
          <t>HALLANDS LÄN</t>
        </is>
      </c>
      <c r="G495" t="inlineStr">
        <is>
          <t>FALKENBERG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44910</v>
      </c>
      <c r="E496" s="1" t="n">
        <v>46314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46314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46314</v>
      </c>
      <c r="F498" t="inlineStr">
        <is>
          <t>HALLANDS LÄN</t>
        </is>
      </c>
      <c r="G498" t="inlineStr">
        <is>
          <t>FALKENBERG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57493-2023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46314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46314</v>
      </c>
      <c r="F500" t="inlineStr">
        <is>
          <t>HALLANDS LÄN</t>
        </is>
      </c>
      <c r="G500" t="inlineStr">
        <is>
          <t>FALKENBERG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44827</v>
      </c>
      <c r="E501" s="1" t="n">
        <v>46314</v>
      </c>
      <c r="F501" t="inlineStr">
        <is>
          <t>HALLANDS LÄN</t>
        </is>
      </c>
      <c r="G501" t="inlineStr">
        <is>
          <t>FALKENBERG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45435</v>
      </c>
      <c r="E502" s="1" t="n">
        <v>46314</v>
      </c>
      <c r="F502" t="inlineStr">
        <is>
          <t>HALLANDS LÄN</t>
        </is>
      </c>
      <c r="G502" t="inlineStr">
        <is>
          <t>FALKENBERG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46314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46314</v>
      </c>
      <c r="F504" t="inlineStr">
        <is>
          <t>HALLANDS LÄN</t>
        </is>
      </c>
      <c r="G504" t="inlineStr">
        <is>
          <t>FALKENBERG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46314</v>
      </c>
      <c r="F505" t="inlineStr">
        <is>
          <t>HALLANDS LÄN</t>
        </is>
      </c>
      <c r="G505" t="inlineStr">
        <is>
          <t>FALKENBERG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46293</v>
      </c>
      <c r="E506" s="1" t="n">
        <v>46314</v>
      </c>
      <c r="F506" t="inlineStr">
        <is>
          <t>HALLANDS LÄN</t>
        </is>
      </c>
      <c r="G506" t="inlineStr">
        <is>
          <t>FALKENBERG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46290</v>
      </c>
      <c r="E507" s="1" t="n">
        <v>46314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46293</v>
      </c>
      <c r="E508" s="1" t="n">
        <v>46314</v>
      </c>
      <c r="F508" t="inlineStr">
        <is>
          <t>HALLANDS LÄN</t>
        </is>
      </c>
      <c r="G508" t="inlineStr">
        <is>
          <t>FALKENBERG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54700-2024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45618</v>
      </c>
      <c r="E509" s="1" t="n">
        <v>46314</v>
      </c>
      <c r="F509" t="inlineStr">
        <is>
          <t>HALLANDS LÄN</t>
        </is>
      </c>
      <c r="G509" t="inlineStr">
        <is>
          <t>FALKENBERG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46314</v>
      </c>
      <c r="F510" t="inlineStr">
        <is>
          <t>HALLANDS LÄN</t>
        </is>
      </c>
      <c r="G510" t="inlineStr">
        <is>
          <t>FALKENBERG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46293</v>
      </c>
      <c r="E511" s="1" t="n">
        <v>46314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47698-2024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45588</v>
      </c>
      <c r="E512" s="1" t="n">
        <v>46314</v>
      </c>
      <c r="F512" t="inlineStr">
        <is>
          <t>HALLANDS LÄN</t>
        </is>
      </c>
      <c r="G512" t="inlineStr">
        <is>
          <t>FALKENBERG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45076</v>
      </c>
      <c r="E513" s="1" t="n">
        <v>46314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66135-2021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44517</v>
      </c>
      <c r="E514" s="1" t="n">
        <v>46314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46248</v>
      </c>
      <c r="E515" s="1" t="n">
        <v>46314</v>
      </c>
      <c r="F515" t="inlineStr">
        <is>
          <t>HALLANDS LÄN</t>
        </is>
      </c>
      <c r="G515" t="inlineStr">
        <is>
          <t>FALKENBERG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44852</v>
      </c>
      <c r="E516" s="1" t="n">
        <v>46314</v>
      </c>
      <c r="F516" t="inlineStr">
        <is>
          <t>HALLANDS LÄN</t>
        </is>
      </c>
      <c r="G516" t="inlineStr">
        <is>
          <t>FALKENBERG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46314</v>
      </c>
      <c r="F517" t="inlineStr">
        <is>
          <t>HALLANDS LÄN</t>
        </is>
      </c>
      <c r="G517" t="inlineStr">
        <is>
          <t>FALKENBERG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45131</v>
      </c>
      <c r="E518" s="1" t="n">
        <v>46314</v>
      </c>
      <c r="F518" t="inlineStr">
        <is>
          <t>HALLANDS LÄN</t>
        </is>
      </c>
      <c r="G518" t="inlineStr">
        <is>
          <t>FALKENBERG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46314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46314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8900-2024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45357</v>
      </c>
      <c r="E521" s="1" t="n">
        <v>46314</v>
      </c>
      <c r="F521" t="inlineStr">
        <is>
          <t>HALLANDS LÄN</t>
        </is>
      </c>
      <c r="G521" t="inlineStr">
        <is>
          <t>FALKENBERG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45226</v>
      </c>
      <c r="E522" s="1" t="n">
        <v>46314</v>
      </c>
      <c r="F522" t="inlineStr">
        <is>
          <t>HALLANDS LÄN</t>
        </is>
      </c>
      <c r="G522" t="inlineStr">
        <is>
          <t>FALKENBERG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44974</v>
      </c>
      <c r="E523" s="1" t="n">
        <v>46314</v>
      </c>
      <c r="F523" t="inlineStr">
        <is>
          <t>HALLANDS LÄN</t>
        </is>
      </c>
      <c r="G523" t="inlineStr">
        <is>
          <t>FALKENBERG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46295</v>
      </c>
      <c r="E524" s="1" t="n">
        <v>46314</v>
      </c>
      <c r="F524" t="inlineStr">
        <is>
          <t>HALLANDS LÄN</t>
        </is>
      </c>
      <c r="G524" t="inlineStr">
        <is>
          <t>FALKENBERG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46314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8516-2024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45355</v>
      </c>
      <c r="E526" s="1" t="n">
        <v>46314</v>
      </c>
      <c r="F526" t="inlineStr">
        <is>
          <t>HALLANDS LÄN</t>
        </is>
      </c>
      <c r="G526" t="inlineStr">
        <is>
          <t>FALKENBERG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46314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46314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46314</v>
      </c>
      <c r="F529" t="inlineStr">
        <is>
          <t>HALLANDS LÄN</t>
        </is>
      </c>
      <c r="G529" t="inlineStr">
        <is>
          <t>FALKENBERG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46314</v>
      </c>
      <c r="F530" t="inlineStr">
        <is>
          <t>HALLANDS LÄN</t>
        </is>
      </c>
      <c r="G530" t="inlineStr">
        <is>
          <t>FALKENBERG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46314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46314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46314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45174</v>
      </c>
      <c r="E534" s="1" t="n">
        <v>46314</v>
      </c>
      <c r="F534" t="inlineStr">
        <is>
          <t>HALLANDS LÄN</t>
        </is>
      </c>
      <c r="G534" t="inlineStr">
        <is>
          <t>FALKENBERG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46314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46314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34181-2026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46253</v>
      </c>
      <c r="E537" s="1" t="n">
        <v>46314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17382-2023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46314</v>
      </c>
      <c r="F538" t="inlineStr">
        <is>
          <t>HALLANDS LÄN</t>
        </is>
      </c>
      <c r="G538" t="inlineStr">
        <is>
          <t>FALKENBERG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46441-2024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46314</v>
      </c>
      <c r="F539" t="inlineStr">
        <is>
          <t>HALLANDS LÄN</t>
        </is>
      </c>
      <c r="G539" t="inlineStr">
        <is>
          <t>FALKENBERG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45071</v>
      </c>
      <c r="E540" s="1" t="n">
        <v>46314</v>
      </c>
      <c r="F540" t="inlineStr">
        <is>
          <t>HALLANDS LÄN</t>
        </is>
      </c>
      <c r="G540" t="inlineStr">
        <is>
          <t>FALKENBERG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46314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46314</v>
      </c>
      <c r="F542" t="inlineStr">
        <is>
          <t>HALLANDS LÄN</t>
        </is>
      </c>
      <c r="G542" t="inlineStr">
        <is>
          <t>FALKENBERG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45782</v>
      </c>
      <c r="E543" s="1" t="n">
        <v>46314</v>
      </c>
      <c r="F543" t="inlineStr">
        <is>
          <t>HALLANDS LÄN</t>
        </is>
      </c>
      <c r="G543" t="inlineStr">
        <is>
          <t>FALKENBERG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46271</v>
      </c>
      <c r="E544" s="1" t="n">
        <v>46314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46271</v>
      </c>
      <c r="E545" s="1" t="n">
        <v>46314</v>
      </c>
      <c r="F545" t="inlineStr">
        <is>
          <t>HALLANDS LÄN</t>
        </is>
      </c>
      <c r="G545" t="inlineStr">
        <is>
          <t>FALKENBERG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46314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45785</v>
      </c>
      <c r="E547" s="1" t="n">
        <v>46314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45741</v>
      </c>
      <c r="E548" s="1" t="n">
        <v>46314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42074-2024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45562</v>
      </c>
      <c r="E549" s="1" t="n">
        <v>46314</v>
      </c>
      <c r="F549" t="inlineStr">
        <is>
          <t>HALLANDS LÄN</t>
        </is>
      </c>
      <c r="G549" t="inlineStr">
        <is>
          <t>FALKENBERG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45443</v>
      </c>
      <c r="E550" s="1" t="n">
        <v>46314</v>
      </c>
      <c r="F550" t="inlineStr">
        <is>
          <t>HALLANDS LÄN</t>
        </is>
      </c>
      <c r="G550" t="inlineStr">
        <is>
          <t>FALKENBERG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46259</v>
      </c>
      <c r="E551" s="1" t="n">
        <v>46314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46522-2024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45582</v>
      </c>
      <c r="E552" s="1" t="n">
        <v>46314</v>
      </c>
      <c r="F552" t="inlineStr">
        <is>
          <t>HALLANDS LÄN</t>
        </is>
      </c>
      <c r="G552" t="inlineStr">
        <is>
          <t>FALKENBERG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46314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46314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54131-2024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46314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46314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46259</v>
      </c>
      <c r="E557" s="1" t="n">
        <v>46314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46314</v>
      </c>
      <c r="F558" t="inlineStr">
        <is>
          <t>HALLANDS LÄN</t>
        </is>
      </c>
      <c r="G558" t="inlineStr">
        <is>
          <t>FALKENBERG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42361-2026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46307</v>
      </c>
      <c r="E559" s="1" t="n">
        <v>46314</v>
      </c>
      <c r="F559" t="inlineStr">
        <is>
          <t>HALLANDS LÄN</t>
        </is>
      </c>
      <c r="G559" t="inlineStr">
        <is>
          <t>FALKENBERG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45748</v>
      </c>
      <c r="E560" s="1" t="n">
        <v>46314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46314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46263</v>
      </c>
      <c r="E562" s="1" t="n">
        <v>46314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46314</v>
      </c>
      <c r="F563" t="inlineStr">
        <is>
          <t>HALLANDS LÄN</t>
        </is>
      </c>
      <c r="G563" t="inlineStr">
        <is>
          <t>FALKENBERG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46314</v>
      </c>
      <c r="F564" t="inlineStr">
        <is>
          <t>HALLANDS LÄN</t>
        </is>
      </c>
      <c r="G564" t="inlineStr">
        <is>
          <t>FALKENBERG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46314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46314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24887-2025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46314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46304</v>
      </c>
      <c r="E568" s="1" t="n">
        <v>46314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46304</v>
      </c>
      <c r="E569" s="1" t="n">
        <v>46314</v>
      </c>
      <c r="F569" t="inlineStr">
        <is>
          <t>HALLANDS LÄN</t>
        </is>
      </c>
      <c r="G569" t="inlineStr">
        <is>
          <t>FALKENBERG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46307</v>
      </c>
      <c r="E570" s="1" t="n">
        <v>46314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46314</v>
      </c>
      <c r="F571" t="inlineStr">
        <is>
          <t>HALLANDS LÄN</t>
        </is>
      </c>
      <c r="G571" t="inlineStr">
        <is>
          <t>FALKENBERG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46314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46314</v>
      </c>
      <c r="F573" t="inlineStr">
        <is>
          <t>HALLANDS LÄN</t>
        </is>
      </c>
      <c r="G573" t="inlineStr">
        <is>
          <t>FALKENBERG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46314</v>
      </c>
      <c r="F574" t="inlineStr">
        <is>
          <t>HALLANDS LÄN</t>
        </is>
      </c>
      <c r="G574" t="inlineStr">
        <is>
          <t>FALKENBERG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46314</v>
      </c>
      <c r="F575" t="inlineStr">
        <is>
          <t>HALLANDS LÄN</t>
        </is>
      </c>
      <c r="G575" t="inlineStr">
        <is>
          <t>FALKENBERG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46314</v>
      </c>
      <c r="F576" t="inlineStr">
        <is>
          <t>HALLANDS LÄN</t>
        </is>
      </c>
      <c r="G576" t="inlineStr">
        <is>
          <t>FALKENBERG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46314</v>
      </c>
      <c r="F577" t="inlineStr">
        <is>
          <t>HALLANDS LÄN</t>
        </is>
      </c>
      <c r="G577" t="inlineStr">
        <is>
          <t>FALKENBERG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46314</v>
      </c>
      <c r="F578" t="inlineStr">
        <is>
          <t>HALLANDS LÄN</t>
        </is>
      </c>
      <c r="G578" t="inlineStr">
        <is>
          <t>FALKENBERG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46314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45712</v>
      </c>
      <c r="E580" s="1" t="n">
        <v>46314</v>
      </c>
      <c r="F580" t="inlineStr">
        <is>
          <t>HALLANDS LÄN</t>
        </is>
      </c>
      <c r="G580" t="inlineStr">
        <is>
          <t>FALKENBERG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45630</v>
      </c>
      <c r="E581" s="1" t="n">
        <v>46314</v>
      </c>
      <c r="F581" t="inlineStr">
        <is>
          <t>HALLANDS LÄN</t>
        </is>
      </c>
      <c r="G581" t="inlineStr">
        <is>
          <t>FALKENBERG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53772-2024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45615</v>
      </c>
      <c r="E582" s="1" t="n">
        <v>46314</v>
      </c>
      <c r="F582" t="inlineStr">
        <is>
          <t>HALLANDS LÄN</t>
        </is>
      </c>
      <c r="G582" t="inlineStr">
        <is>
          <t>FALKENBERG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45821</v>
      </c>
      <c r="E583" s="1" t="n">
        <v>46314</v>
      </c>
      <c r="F583" t="inlineStr">
        <is>
          <t>HALLANDS LÄN</t>
        </is>
      </c>
      <c r="G583" t="inlineStr">
        <is>
          <t>FALKENBERG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46310</v>
      </c>
      <c r="E584" s="1" t="n">
        <v>46314</v>
      </c>
      <c r="F584" t="inlineStr">
        <is>
          <t>HALLANDS LÄN</t>
        </is>
      </c>
      <c r="G584" t="inlineStr">
        <is>
          <t>FALKENBERG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45834</v>
      </c>
      <c r="E585" s="1" t="n">
        <v>46314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31684-2025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45834</v>
      </c>
      <c r="E586" s="1" t="n">
        <v>46314</v>
      </c>
      <c r="F586" t="inlineStr">
        <is>
          <t>HALLANDS LÄN</t>
        </is>
      </c>
      <c r="G586" t="inlineStr">
        <is>
          <t>FALKENBERG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45834</v>
      </c>
      <c r="E587" s="1" t="n">
        <v>46314</v>
      </c>
      <c r="F587" t="inlineStr">
        <is>
          <t>HALLANDS LÄN</t>
        </is>
      </c>
      <c r="G587" t="inlineStr">
        <is>
          <t>FALKENBERG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46314</v>
      </c>
      <c r="F588" t="inlineStr">
        <is>
          <t>HALLANDS LÄN</t>
        </is>
      </c>
      <c r="G588" t="inlineStr">
        <is>
          <t>FALKENBERG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46314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46314</v>
      </c>
      <c r="F590" t="inlineStr">
        <is>
          <t>HALLANDS LÄN</t>
        </is>
      </c>
      <c r="G590" t="inlineStr">
        <is>
          <t>FALKENBERG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46314</v>
      </c>
      <c r="F591" t="inlineStr">
        <is>
          <t>HALLANDS LÄN</t>
        </is>
      </c>
      <c r="G591" t="inlineStr">
        <is>
          <t>FALKENBERG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32399-2025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46314</v>
      </c>
      <c r="F592" t="inlineStr">
        <is>
          <t>HALLANDS LÄN</t>
        </is>
      </c>
      <c r="G592" t="inlineStr">
        <is>
          <t>FALKENBERG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46314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44984</v>
      </c>
      <c r="E594" s="1" t="n">
        <v>46314</v>
      </c>
      <c r="F594" t="inlineStr">
        <is>
          <t>HALLANDS LÄN</t>
        </is>
      </c>
      <c r="G594" t="inlineStr">
        <is>
          <t>FALKENBERG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45848</v>
      </c>
      <c r="E595" s="1" t="n">
        <v>46314</v>
      </c>
      <c r="F595" t="inlineStr">
        <is>
          <t>HALLANDS LÄN</t>
        </is>
      </c>
      <c r="G595" t="inlineStr">
        <is>
          <t>FALKENBERG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16194-2025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45750</v>
      </c>
      <c r="E596" s="1" t="n">
        <v>46314</v>
      </c>
      <c r="F596" t="inlineStr">
        <is>
          <t>HALLANDS LÄN</t>
        </is>
      </c>
      <c r="G596" t="inlineStr">
        <is>
          <t>FALKENBERG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46314</v>
      </c>
      <c r="F597" t="inlineStr">
        <is>
          <t>HALLANDS LÄN</t>
        </is>
      </c>
      <c r="G597" t="inlineStr">
        <is>
          <t>FALKENBERG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25129-2025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46314</v>
      </c>
      <c r="F598" t="inlineStr">
        <is>
          <t>HALLANDS LÄN</t>
        </is>
      </c>
      <c r="G598" t="inlineStr">
        <is>
          <t>FALKENBERG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43576-2023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45184</v>
      </c>
      <c r="E599" s="1" t="n">
        <v>46314</v>
      </c>
      <c r="F599" t="inlineStr">
        <is>
          <t>HALLANDS LÄN</t>
        </is>
      </c>
      <c r="G599" t="inlineStr">
        <is>
          <t>FALKENBERG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43610-2023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45184</v>
      </c>
      <c r="E600" s="1" t="n">
        <v>46314</v>
      </c>
      <c r="F600" t="inlineStr">
        <is>
          <t>HALLANDS LÄN</t>
        </is>
      </c>
      <c r="G600" t="inlineStr">
        <is>
          <t>FALKENBERG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45337</v>
      </c>
      <c r="E601" s="1" t="n">
        <v>46314</v>
      </c>
      <c r="F601" t="inlineStr">
        <is>
          <t>HALLANDS LÄN</t>
        </is>
      </c>
      <c r="G601" t="inlineStr">
        <is>
          <t>FALKENBERG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45249</v>
      </c>
      <c r="E602" s="1" t="n">
        <v>46314</v>
      </c>
      <c r="F602" t="inlineStr">
        <is>
          <t>HALLANDS LÄN</t>
        </is>
      </c>
      <c r="G602" t="inlineStr">
        <is>
          <t>FALKENBERG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44846</v>
      </c>
      <c r="E603" s="1" t="n">
        <v>46314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45974-2022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46314</v>
      </c>
      <c r="F604" t="inlineStr">
        <is>
          <t>HALLANDS LÄN</t>
        </is>
      </c>
      <c r="G604" t="inlineStr">
        <is>
          <t>FALKENBERG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46314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29863-2025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46314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46314</v>
      </c>
      <c r="F607" t="inlineStr">
        <is>
          <t>HALLANDS LÄN</t>
        </is>
      </c>
      <c r="G607" t="inlineStr">
        <is>
          <t>FALKENBERG</t>
        </is>
      </c>
      <c r="H607" t="inlineStr">
        <is>
          <t>Bergvik skog väst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43581-2023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45184</v>
      </c>
      <c r="E608" s="1" t="n">
        <v>46314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45013</v>
      </c>
      <c r="E609" s="1" t="n">
        <v>46314</v>
      </c>
      <c r="F609" t="inlineStr">
        <is>
          <t>HALLANDS LÄN</t>
        </is>
      </c>
      <c r="G609" t="inlineStr">
        <is>
          <t>FALKENBERG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46314</v>
      </c>
      <c r="F610" t="inlineStr">
        <is>
          <t>HALLANDS LÄN</t>
        </is>
      </c>
      <c r="G610" t="inlineStr">
        <is>
          <t>FALKENBERG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45280</v>
      </c>
      <c r="E611" s="1" t="n">
        <v>46314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30893-2022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44767</v>
      </c>
      <c r="E612" s="1" t="n">
        <v>46314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46314</v>
      </c>
      <c r="F613" t="inlineStr">
        <is>
          <t>HALLANDS LÄN</t>
        </is>
      </c>
      <c r="G613" t="inlineStr">
        <is>
          <t>FALKENBERG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46314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44693</v>
      </c>
      <c r="E615" s="1" t="n">
        <v>46314</v>
      </c>
      <c r="F615" t="inlineStr">
        <is>
          <t>HALLANDS LÄN</t>
        </is>
      </c>
      <c r="G615" t="inlineStr">
        <is>
          <t>FALKENBERG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20250-2024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45434</v>
      </c>
      <c r="E616" s="1" t="n">
        <v>46314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14602-2023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46314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45074</v>
      </c>
      <c r="E618" s="1" t="n">
        <v>46314</v>
      </c>
      <c r="F618" t="inlineStr">
        <is>
          <t>HALLANDS LÄN</t>
        </is>
      </c>
      <c r="G618" t="inlineStr">
        <is>
          <t>FALKENBERG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44943</v>
      </c>
      <c r="E619" s="1" t="n">
        <v>46314</v>
      </c>
      <c r="F619" t="inlineStr">
        <is>
          <t>HALLANDS LÄN</t>
        </is>
      </c>
      <c r="G619" t="inlineStr">
        <is>
          <t>FALKENBERG</t>
        </is>
      </c>
      <c r="H619" t="inlineStr">
        <is>
          <t>Bergvik skog väst AB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44943</v>
      </c>
      <c r="E620" s="1" t="n">
        <v>46314</v>
      </c>
      <c r="F620" t="inlineStr">
        <is>
          <t>HALLANDS LÄN</t>
        </is>
      </c>
      <c r="G620" t="inlineStr">
        <is>
          <t>FALKENBERG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44818</v>
      </c>
      <c r="E621" s="1" t="n">
        <v>46314</v>
      </c>
      <c r="F621" t="inlineStr">
        <is>
          <t>HALLANDS LÄN</t>
        </is>
      </c>
      <c r="G621" t="inlineStr">
        <is>
          <t>FALKENBERG</t>
        </is>
      </c>
      <c r="H621" t="inlineStr">
        <is>
          <t>Bergvik skog väst AB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61931-2021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44502</v>
      </c>
      <c r="E622" s="1" t="n">
        <v>46314</v>
      </c>
      <c r="F622" t="inlineStr">
        <is>
          <t>HALLANDS LÄN</t>
        </is>
      </c>
      <c r="G622" t="inlineStr">
        <is>
          <t>FALKENBERG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46314</v>
      </c>
      <c r="F623" t="inlineStr">
        <is>
          <t>HALLANDS LÄN</t>
        </is>
      </c>
      <c r="G623" t="inlineStr">
        <is>
          <t>FALKENBERG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65081-2021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46314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45337</v>
      </c>
      <c r="E625" s="1" t="n">
        <v>46314</v>
      </c>
      <c r="F625" t="inlineStr">
        <is>
          <t>HALLANDS LÄN</t>
        </is>
      </c>
      <c r="G625" t="inlineStr">
        <is>
          <t>FALKENBERG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45387</v>
      </c>
      <c r="E626" s="1" t="n">
        <v>46314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18077-2025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45761</v>
      </c>
      <c r="E627" s="1" t="n">
        <v>46314</v>
      </c>
      <c r="F627" t="inlineStr">
        <is>
          <t>HALLANDS LÄN</t>
        </is>
      </c>
      <c r="G627" t="inlineStr">
        <is>
          <t>FALKENBERG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46314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21978-2023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45068</v>
      </c>
      <c r="E629" s="1" t="n">
        <v>46314</v>
      </c>
      <c r="F629" t="inlineStr">
        <is>
          <t>HALLANDS LÄN</t>
        </is>
      </c>
      <c r="G629" t="inlineStr">
        <is>
          <t>FALKENBERG</t>
        </is>
      </c>
      <c r="I629" t="n">
        <v>13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50381-2022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44866</v>
      </c>
      <c r="E630" s="1" t="n">
        <v>46314</v>
      </c>
      <c r="F630" t="inlineStr">
        <is>
          <t>HALLANDS LÄN</t>
        </is>
      </c>
      <c r="G630" t="inlineStr">
        <is>
          <t>FALKENBERG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45260</v>
      </c>
      <c r="E631" s="1" t="n">
        <v>46314</v>
      </c>
      <c r="F631" t="inlineStr">
        <is>
          <t>HALLANDS LÄN</t>
        </is>
      </c>
      <c r="G631" t="inlineStr">
        <is>
          <t>FALKENBERG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18329-2024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45422</v>
      </c>
      <c r="E632" s="1" t="n">
        <v>46314</v>
      </c>
      <c r="F632" t="inlineStr">
        <is>
          <t>HALLANDS LÄN</t>
        </is>
      </c>
      <c r="G632" t="inlineStr">
        <is>
          <t>FALKENBERG</t>
        </is>
      </c>
      <c r="H632" t="inlineStr">
        <is>
          <t>Bergvik skog väst AB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46314</v>
      </c>
      <c r="F633" t="inlineStr">
        <is>
          <t>HALLANDS LÄN</t>
        </is>
      </c>
      <c r="G633" t="inlineStr">
        <is>
          <t>FALKENBERG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66747-2021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44521</v>
      </c>
      <c r="E634" s="1" t="n">
        <v>46314</v>
      </c>
      <c r="F634" t="inlineStr">
        <is>
          <t>HALLANDS LÄN</t>
        </is>
      </c>
      <c r="G634" t="inlineStr">
        <is>
          <t>FALKENBERG</t>
        </is>
      </c>
      <c r="I634" t="n">
        <v>10.7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46314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45250</v>
      </c>
      <c r="E636" s="1" t="n">
        <v>46314</v>
      </c>
      <c r="F636" t="inlineStr">
        <is>
          <t>HALLANDS LÄN</t>
        </is>
      </c>
      <c r="G636" t="inlineStr">
        <is>
          <t>FALKENBERG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58089-2023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45248</v>
      </c>
      <c r="E637" s="1" t="n">
        <v>46314</v>
      </c>
      <c r="F637" t="inlineStr">
        <is>
          <t>HALLANDS LÄN</t>
        </is>
      </c>
      <c r="G637" t="inlineStr">
        <is>
          <t>FALKENBERG</t>
        </is>
      </c>
      <c r="H637" t="inlineStr">
        <is>
          <t>Bergvik skog väst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45249</v>
      </c>
      <c r="E638" s="1" t="n">
        <v>46314</v>
      </c>
      <c r="F638" t="inlineStr">
        <is>
          <t>HALLANDS LÄN</t>
        </is>
      </c>
      <c r="G638" t="inlineStr">
        <is>
          <t>FALKENBERG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45270</v>
      </c>
      <c r="E639" s="1" t="n">
        <v>46314</v>
      </c>
      <c r="F639" t="inlineStr">
        <is>
          <t>HALLANDS LÄN</t>
        </is>
      </c>
      <c r="G639" t="inlineStr">
        <is>
          <t>FALKENBERG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46314</v>
      </c>
      <c r="F640" t="inlineStr">
        <is>
          <t>HALLANDS LÄN</t>
        </is>
      </c>
      <c r="G640" t="inlineStr">
        <is>
          <t>FALKENBERG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18323-2024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45422</v>
      </c>
      <c r="E641" s="1" t="n">
        <v>46314</v>
      </c>
      <c r="F641" t="inlineStr">
        <is>
          <t>HALLANDS LÄN</t>
        </is>
      </c>
      <c r="G641" t="inlineStr">
        <is>
          <t>FALKENBERG</t>
        </is>
      </c>
      <c r="H641" t="inlineStr">
        <is>
          <t>Bergvik skog väst AB</t>
        </is>
      </c>
      <c r="I641" t="n">
        <v>10.4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53427-2023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45229</v>
      </c>
      <c r="E642" s="1" t="n">
        <v>46314</v>
      </c>
      <c r="F642" t="inlineStr">
        <is>
          <t>HALLANDS LÄN</t>
        </is>
      </c>
      <c r="G642" t="inlineStr">
        <is>
          <t>FALKENBERG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45249</v>
      </c>
      <c r="E643" s="1" t="n">
        <v>46314</v>
      </c>
      <c r="F643" t="inlineStr">
        <is>
          <t>HALLANDS LÄN</t>
        </is>
      </c>
      <c r="G643" t="inlineStr">
        <is>
          <t>FALKENBERG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44952</v>
      </c>
      <c r="E644" s="1" t="n">
        <v>46314</v>
      </c>
      <c r="F644" t="inlineStr">
        <is>
          <t>HALLANDS LÄN</t>
        </is>
      </c>
      <c r="G644" t="inlineStr">
        <is>
          <t>FALKENBERG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20251-2024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45434</v>
      </c>
      <c r="E645" s="1" t="n">
        <v>46314</v>
      </c>
      <c r="F645" t="inlineStr">
        <is>
          <t>HALLANDS LÄN</t>
        </is>
      </c>
      <c r="G645" t="inlineStr">
        <is>
          <t>FALKENBERG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45146</v>
      </c>
      <c r="E646" s="1" t="n">
        <v>46314</v>
      </c>
      <c r="F646" t="inlineStr">
        <is>
          <t>HALLANDS LÄN</t>
        </is>
      </c>
      <c r="G646" t="inlineStr">
        <is>
          <t>FALKENBERG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45068</v>
      </c>
      <c r="E647" s="1" t="n">
        <v>46314</v>
      </c>
      <c r="F647" t="inlineStr">
        <is>
          <t>HALLANDS LÄN</t>
        </is>
      </c>
      <c r="G647" t="inlineStr">
        <is>
          <t>FALKENBERG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45305</v>
      </c>
      <c r="E648" s="1" t="n">
        <v>46314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46314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46314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46314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46314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46314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46314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46314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46314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46314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46314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46314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46314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46314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46314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46314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46314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46314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46314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46314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46314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46314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46314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46314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46314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46314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46314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46314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46314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46314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46314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46314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46314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46314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46314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46314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46314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46314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46314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2663-2026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46308</v>
      </c>
      <c r="E687" s="1" t="n">
        <v>46314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2026-10-19T02:04:41Z</dcterms:created>
  <dcterms:modified xmlns:dcterms="http://purl.org/dc/terms/" xmlns:xsi="http://www.w3.org/2001/XMLSchema-instance" xsi:type="dcterms:W3CDTF">2026-10-19T02:04:41Z</dcterms:modified>
</cp:coreProperties>
</file>