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45744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45744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45744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45744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45744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45744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45744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45744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45744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45744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50998-2021</t>
        </is>
      </c>
      <c r="B12" s="1" t="n">
        <v>44460</v>
      </c>
      <c r="C12" s="1" t="n">
        <v>45744</v>
      </c>
      <c r="D12" t="inlineStr">
        <is>
          <t>HALLANDS LÄN</t>
        </is>
      </c>
      <c r="E12" t="inlineStr">
        <is>
          <t>FALKENBERG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Rödgul trumpetsvamp</t>
        </is>
      </c>
      <c r="S12">
        <f>HYPERLINK("https://klasma.github.io/Logging_1382/artfynd/A 50998-2021 artfynd.xlsx", "A 50998-2021")</f>
        <v/>
      </c>
      <c r="T12">
        <f>HYPERLINK("https://klasma.github.io/Logging_1382/kartor/A 50998-2021 karta.png", "A 50998-2021")</f>
        <v/>
      </c>
      <c r="V12">
        <f>HYPERLINK("https://klasma.github.io/Logging_1382/klagomål/A 50998-2021 FSC-klagomål.docx", "A 50998-2021")</f>
        <v/>
      </c>
      <c r="W12">
        <f>HYPERLINK("https://klasma.github.io/Logging_1382/klagomålsmail/A 50998-2021 FSC-klagomål mail.docx", "A 50998-2021")</f>
        <v/>
      </c>
      <c r="X12">
        <f>HYPERLINK("https://klasma.github.io/Logging_1382/tillsyn/A 50998-2021 tillsynsbegäran.docx", "A 50998-2021")</f>
        <v/>
      </c>
      <c r="Y12">
        <f>HYPERLINK("https://klasma.github.io/Logging_1382/tillsynsmail/A 50998-2021 tillsynsbegäran mail.docx", "A 50998-2021")</f>
        <v/>
      </c>
    </row>
    <row r="13" ht="15" customHeight="1">
      <c r="A13" t="inlineStr">
        <is>
          <t>A 66137-2021</t>
        </is>
      </c>
      <c r="B13" s="1" t="n">
        <v>44517</v>
      </c>
      <c r="C13" s="1" t="n">
        <v>45744</v>
      </c>
      <c r="D13" t="inlineStr">
        <is>
          <t>HALLANDS LÄN</t>
        </is>
      </c>
      <c r="E13" t="inlineStr">
        <is>
          <t>FALKENBERG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HYPERLINK("https://klasma.github.io/Logging_1382/artfynd/A 66137-2021 artfynd.xlsx", "A 66137-2021")</f>
        <v/>
      </c>
      <c r="T13">
        <f>HYPERLINK("https://klasma.github.io/Logging_1382/kartor/A 66137-2021 karta.png", "A 66137-2021")</f>
        <v/>
      </c>
      <c r="V13">
        <f>HYPERLINK("https://klasma.github.io/Logging_1382/klagomål/A 66137-2021 FSC-klagomål.docx", "A 66137-2021")</f>
        <v/>
      </c>
      <c r="W13">
        <f>HYPERLINK("https://klasma.github.io/Logging_1382/klagomålsmail/A 66137-2021 FSC-klagomål mail.docx", "A 66137-2021")</f>
        <v/>
      </c>
      <c r="X13">
        <f>HYPERLINK("https://klasma.github.io/Logging_1382/tillsyn/A 66137-2021 tillsynsbegäran.docx", "A 66137-2021")</f>
        <v/>
      </c>
      <c r="Y13">
        <f>HYPERLINK("https://klasma.github.io/Logging_1382/tillsynsmail/A 66137-2021 tillsynsbegäran mail.docx", "A 66137-2021")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45744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45744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58664-2023</t>
        </is>
      </c>
      <c r="B16" s="1" t="n">
        <v>45251</v>
      </c>
      <c r="C16" s="1" t="n">
        <v>45744</v>
      </c>
      <c r="D16" t="inlineStr">
        <is>
          <t>HALLANDS LÄN</t>
        </is>
      </c>
      <c r="E16" t="inlineStr">
        <is>
          <t>FALKENBERG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58664-2023 artfynd.xlsx", "A 58664-2023")</f>
        <v/>
      </c>
      <c r="T16">
        <f>HYPERLINK("https://klasma.github.io/Logging_1382/kartor/A 58664-2023 karta.png", "A 58664-2023")</f>
        <v/>
      </c>
      <c r="V16">
        <f>HYPERLINK("https://klasma.github.io/Logging_1382/klagomål/A 58664-2023 FSC-klagomål.docx", "A 58664-2023")</f>
        <v/>
      </c>
      <c r="W16">
        <f>HYPERLINK("https://klasma.github.io/Logging_1382/klagomålsmail/A 58664-2023 FSC-klagomål mail.docx", "A 58664-2023")</f>
        <v/>
      </c>
      <c r="X16">
        <f>HYPERLINK("https://klasma.github.io/Logging_1382/tillsyn/A 58664-2023 tillsynsbegäran.docx", "A 58664-2023")</f>
        <v/>
      </c>
      <c r="Y16">
        <f>HYPERLINK("https://klasma.github.io/Logging_1382/tillsynsmail/A 58664-2023 tillsynsbegäran mail.docx", "A 58664-2023")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45744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45744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24055-2024</t>
        </is>
      </c>
      <c r="B19" s="1" t="n">
        <v>45456</v>
      </c>
      <c r="C19" s="1" t="n">
        <v>45744</v>
      </c>
      <c r="D19" t="inlineStr">
        <is>
          <t>HALLANDS LÄN</t>
        </is>
      </c>
      <c r="E19" t="inlineStr">
        <is>
          <t>FALKENBERG</t>
        </is>
      </c>
      <c r="G19" t="n">
        <v>7.7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24055-2024 artfynd.xlsx", "A 24055-2024")</f>
        <v/>
      </c>
      <c r="T19">
        <f>HYPERLINK("https://klasma.github.io/Logging_1382/kartor/A 24055-2024 karta.png", "A 24055-2024")</f>
        <v/>
      </c>
      <c r="V19">
        <f>HYPERLINK("https://klasma.github.io/Logging_1382/klagomål/A 24055-2024 FSC-klagomål.docx", "A 24055-2024")</f>
        <v/>
      </c>
      <c r="W19">
        <f>HYPERLINK("https://klasma.github.io/Logging_1382/klagomålsmail/A 24055-2024 FSC-klagomål mail.docx", "A 24055-2024")</f>
        <v/>
      </c>
      <c r="X19">
        <f>HYPERLINK("https://klasma.github.io/Logging_1382/tillsyn/A 24055-2024 tillsynsbegäran.docx", "A 24055-2024")</f>
        <v/>
      </c>
      <c r="Y19">
        <f>HYPERLINK("https://klasma.github.io/Logging_1382/tillsynsmail/A 24055-2024 tillsynsbegäran mail.docx", "A 24055-2024")</f>
        <v/>
      </c>
    </row>
    <row r="20" ht="15" customHeight="1">
      <c r="A20" t="inlineStr">
        <is>
          <t>A 50273-2024</t>
        </is>
      </c>
      <c r="B20" s="1" t="n">
        <v>45600</v>
      </c>
      <c r="C20" s="1" t="n">
        <v>45744</v>
      </c>
      <c r="D20" t="inlineStr">
        <is>
          <t>HALLANDS LÄN</t>
        </is>
      </c>
      <c r="E20" t="inlineStr">
        <is>
          <t>FALKENBERG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50273-2024 artfynd.xlsx", "A 50273-2024")</f>
        <v/>
      </c>
      <c r="T20">
        <f>HYPERLINK("https://klasma.github.io/Logging_1382/kartor/A 50273-2024 karta.png", "A 50273-2024")</f>
        <v/>
      </c>
      <c r="V20">
        <f>HYPERLINK("https://klasma.github.io/Logging_1382/klagomål/A 50273-2024 FSC-klagomål.docx", "A 50273-2024")</f>
        <v/>
      </c>
      <c r="W20">
        <f>HYPERLINK("https://klasma.github.io/Logging_1382/klagomålsmail/A 50273-2024 FSC-klagomål mail.docx", "A 50273-2024")</f>
        <v/>
      </c>
      <c r="X20">
        <f>HYPERLINK("https://klasma.github.io/Logging_1382/tillsyn/A 50273-2024 tillsynsbegäran.docx", "A 50273-2024")</f>
        <v/>
      </c>
      <c r="Y20">
        <f>HYPERLINK("https://klasma.github.io/Logging_1382/tillsynsmail/A 50273-2024 tillsynsbegäran mail.docx", "A 50273-2024")</f>
        <v/>
      </c>
    </row>
    <row r="21" ht="15" customHeight="1">
      <c r="A21" t="inlineStr">
        <is>
          <t>A 56034-2024</t>
        </is>
      </c>
      <c r="B21" s="1" t="n">
        <v>45624</v>
      </c>
      <c r="C21" s="1" t="n">
        <v>45744</v>
      </c>
      <c r="D21" t="inlineStr">
        <is>
          <t>HALLANDS LÄN</t>
        </is>
      </c>
      <c r="E21" t="inlineStr">
        <is>
          <t>FALKENBERG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HYPERLINK("https://klasma.github.io/Logging_1382/artfynd/A 56034-2024 artfynd.xlsx", "A 56034-2024")</f>
        <v/>
      </c>
      <c r="T21">
        <f>HYPERLINK("https://klasma.github.io/Logging_1382/kartor/A 56034-2024 karta.png", "A 56034-2024")</f>
        <v/>
      </c>
      <c r="V21">
        <f>HYPERLINK("https://klasma.github.io/Logging_1382/klagomål/A 56034-2024 FSC-klagomål.docx", "A 56034-2024")</f>
        <v/>
      </c>
      <c r="W21">
        <f>HYPERLINK("https://klasma.github.io/Logging_1382/klagomålsmail/A 56034-2024 FSC-klagomål mail.docx", "A 56034-2024")</f>
        <v/>
      </c>
      <c r="X21">
        <f>HYPERLINK("https://klasma.github.io/Logging_1382/tillsyn/A 56034-2024 tillsynsbegäran.docx", "A 56034-2024")</f>
        <v/>
      </c>
      <c r="Y21">
        <f>HYPERLINK("https://klasma.github.io/Logging_1382/tillsynsmail/A 56034-2024 tillsynsbegäran mail.docx", "A 56034-2024")</f>
        <v/>
      </c>
    </row>
    <row r="22" ht="15" customHeight="1">
      <c r="A22" t="inlineStr">
        <is>
          <t>A 56929-2024</t>
        </is>
      </c>
      <c r="B22" s="1" t="n">
        <v>45628</v>
      </c>
      <c r="C22" s="1" t="n">
        <v>45744</v>
      </c>
      <c r="D22" t="inlineStr">
        <is>
          <t>HALLANDS LÄN</t>
        </is>
      </c>
      <c r="E22" t="inlineStr">
        <is>
          <t>FALKENBERG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56929-2024 artfynd.xlsx", "A 56929-2024")</f>
        <v/>
      </c>
      <c r="T22">
        <f>HYPERLINK("https://klasma.github.io/Logging_1382/kartor/A 56929-2024 karta.png", "A 56929-2024")</f>
        <v/>
      </c>
      <c r="V22">
        <f>HYPERLINK("https://klasma.github.io/Logging_1382/klagomål/A 56929-2024 FSC-klagomål.docx", "A 56929-2024")</f>
        <v/>
      </c>
      <c r="W22">
        <f>HYPERLINK("https://klasma.github.io/Logging_1382/klagomålsmail/A 56929-2024 FSC-klagomål mail.docx", "A 56929-2024")</f>
        <v/>
      </c>
      <c r="X22">
        <f>HYPERLINK("https://klasma.github.io/Logging_1382/tillsyn/A 56929-2024 tillsynsbegäran.docx", "A 56929-2024")</f>
        <v/>
      </c>
      <c r="Y22">
        <f>HYPERLINK("https://klasma.github.io/Logging_1382/tillsynsmail/A 56929-2024 tillsynsbegäran mail.docx", "A 56929-2024")</f>
        <v/>
      </c>
    </row>
    <row r="23" ht="15" customHeight="1">
      <c r="A23" t="inlineStr">
        <is>
          <t>A 1274-2025</t>
        </is>
      </c>
      <c r="B23" s="1" t="n">
        <v>45667</v>
      </c>
      <c r="C23" s="1" t="n">
        <v>45744</v>
      </c>
      <c r="D23" t="inlineStr">
        <is>
          <t>HALLANDS LÄN</t>
        </is>
      </c>
      <c r="E23" t="inlineStr">
        <is>
          <t>FALKENBERG</t>
        </is>
      </c>
      <c r="G23" t="n">
        <v>7.7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HYPERLINK("https://klasma.github.io/Logging_1382/artfynd/A 1274-2025 artfynd.xlsx", "A 1274-2025")</f>
        <v/>
      </c>
      <c r="T23">
        <f>HYPERLINK("https://klasma.github.io/Logging_1382/kartor/A 1274-2025 karta.png", "A 1274-2025")</f>
        <v/>
      </c>
      <c r="V23">
        <f>HYPERLINK("https://klasma.github.io/Logging_1382/klagomål/A 1274-2025 FSC-klagomål.docx", "A 1274-2025")</f>
        <v/>
      </c>
      <c r="W23">
        <f>HYPERLINK("https://klasma.github.io/Logging_1382/klagomålsmail/A 1274-2025 FSC-klagomål mail.docx", "A 1274-2025")</f>
        <v/>
      </c>
      <c r="X23">
        <f>HYPERLINK("https://klasma.github.io/Logging_1382/tillsyn/A 1274-2025 tillsynsbegäran.docx", "A 1274-2025")</f>
        <v/>
      </c>
      <c r="Y23">
        <f>HYPERLINK("https://klasma.github.io/Logging_1382/tillsynsmail/A 1274-2025 tillsynsbegäran mail.docx", "A 1274-2025")</f>
        <v/>
      </c>
    </row>
    <row r="24" ht="15" customHeight="1">
      <c r="A24" t="inlineStr">
        <is>
          <t>A 18248-2019</t>
        </is>
      </c>
      <c r="B24" s="1" t="n">
        <v>43558</v>
      </c>
      <c r="C24" s="1" t="n">
        <v>45744</v>
      </c>
      <c r="D24" t="inlineStr">
        <is>
          <t>HALLANDS LÄN</t>
        </is>
      </c>
      <c r="E24" t="inlineStr">
        <is>
          <t>FALKENBERG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18541-2019</t>
        </is>
      </c>
      <c r="B25" s="1" t="n">
        <v>43558</v>
      </c>
      <c r="C25" s="1" t="n">
        <v>45744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18628-2019</t>
        </is>
      </c>
      <c r="B26" s="1" t="n">
        <v>43559</v>
      </c>
      <c r="C26" s="1" t="n">
        <v>45744</v>
      </c>
      <c r="D26" t="inlineStr">
        <is>
          <t>HALLANDS LÄN</t>
        </is>
      </c>
      <c r="E26" t="inlineStr">
        <is>
          <t>FALKENBERG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18851-2019</t>
        </is>
      </c>
      <c r="B27" s="1" t="n">
        <v>43563</v>
      </c>
      <c r="C27" s="1" t="n">
        <v>45744</v>
      </c>
      <c r="D27" t="inlineStr">
        <is>
          <t>HALLANDS LÄN</t>
        </is>
      </c>
      <c r="E27" t="inlineStr">
        <is>
          <t>FALKENBERG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21135-2019</t>
        </is>
      </c>
      <c r="B28" s="1" t="n">
        <v>43579</v>
      </c>
      <c r="C28" s="1" t="n">
        <v>45744</v>
      </c>
      <c r="D28" t="inlineStr">
        <is>
          <t>HALLANDS LÄN</t>
        </is>
      </c>
      <c r="E28" t="inlineStr">
        <is>
          <t>FALKENBERG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22652-2019</t>
        </is>
      </c>
      <c r="B29" s="1" t="n">
        <v>43588</v>
      </c>
      <c r="C29" s="1" t="n">
        <v>45744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22651-2019</t>
        </is>
      </c>
      <c r="B30" s="1" t="n">
        <v>43588</v>
      </c>
      <c r="C30" s="1" t="n">
        <v>45744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22855-2019</t>
        </is>
      </c>
      <c r="B31" s="1" t="n">
        <v>43591</v>
      </c>
      <c r="C31" s="1" t="n">
        <v>45744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22856-2019</t>
        </is>
      </c>
      <c r="B32" s="1" t="n">
        <v>43591</v>
      </c>
      <c r="C32" s="1" t="n">
        <v>45744</v>
      </c>
      <c r="D32" t="inlineStr">
        <is>
          <t>HALLANDS LÄN</t>
        </is>
      </c>
      <c r="E32" t="inlineStr">
        <is>
          <t>FALKENBERG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23924-2019</t>
        </is>
      </c>
      <c r="B33" s="1" t="n">
        <v>43595</v>
      </c>
      <c r="C33" s="1" t="n">
        <v>45744</v>
      </c>
      <c r="D33" t="inlineStr">
        <is>
          <t>HALLANDS LÄN</t>
        </is>
      </c>
      <c r="E33" t="inlineStr">
        <is>
          <t>FALKENBERG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25571-2019</t>
        </is>
      </c>
      <c r="B34" s="1" t="n">
        <v>43607</v>
      </c>
      <c r="C34" s="1" t="n">
        <v>45744</v>
      </c>
      <c r="D34" t="inlineStr">
        <is>
          <t>HALLANDS LÄN</t>
        </is>
      </c>
      <c r="E34" t="inlineStr">
        <is>
          <t>FALKENBERG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25913-2019</t>
        </is>
      </c>
      <c r="B35" s="1" t="n">
        <v>43608</v>
      </c>
      <c r="C35" s="1" t="n">
        <v>45744</v>
      </c>
      <c r="D35" t="inlineStr">
        <is>
          <t>HALLANDS LÄN</t>
        </is>
      </c>
      <c r="E35" t="inlineStr">
        <is>
          <t>FALKENBERG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26392-2019</t>
        </is>
      </c>
      <c r="B36" s="1" t="n">
        <v>43612</v>
      </c>
      <c r="C36" s="1" t="n">
        <v>45744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27664-2019</t>
        </is>
      </c>
      <c r="B37" s="1" t="n">
        <v>43619</v>
      </c>
      <c r="C37" s="1" t="n">
        <v>45744</v>
      </c>
      <c r="D37" t="inlineStr">
        <is>
          <t>HALLANDS LÄN</t>
        </is>
      </c>
      <c r="E37" t="inlineStr">
        <is>
          <t>FALKENBERG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27675-2019</t>
        </is>
      </c>
      <c r="B38" s="1" t="n">
        <v>43619</v>
      </c>
      <c r="C38" s="1" t="n">
        <v>45744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27633-2019</t>
        </is>
      </c>
      <c r="B39" s="1" t="n">
        <v>43619</v>
      </c>
      <c r="C39" s="1" t="n">
        <v>45744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27555-2019</t>
        </is>
      </c>
      <c r="B40" s="1" t="n">
        <v>43619</v>
      </c>
      <c r="C40" s="1" t="n">
        <v>45744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28926-2019</t>
        </is>
      </c>
      <c r="B41" s="1" t="n">
        <v>43619</v>
      </c>
      <c r="C41" s="1" t="n">
        <v>45744</v>
      </c>
      <c r="D41" t="inlineStr">
        <is>
          <t>HALLANDS LÄN</t>
        </is>
      </c>
      <c r="E41" t="inlineStr">
        <is>
          <t>FALKENBERG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27666-2019</t>
        </is>
      </c>
      <c r="B42" s="1" t="n">
        <v>43619</v>
      </c>
      <c r="C42" s="1" t="n">
        <v>45744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28658-2019</t>
        </is>
      </c>
      <c r="B43" s="1" t="n">
        <v>43627</v>
      </c>
      <c r="C43" s="1" t="n">
        <v>45744</v>
      </c>
      <c r="D43" t="inlineStr">
        <is>
          <t>HALLANDS LÄN</t>
        </is>
      </c>
      <c r="E43" t="inlineStr">
        <is>
          <t>FALKENBERG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28910-2019</t>
        </is>
      </c>
      <c r="B44" s="1" t="n">
        <v>43628</v>
      </c>
      <c r="C44" s="1" t="n">
        <v>45744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29819-2019</t>
        </is>
      </c>
      <c r="B45" s="1" t="n">
        <v>43633</v>
      </c>
      <c r="C45" s="1" t="n">
        <v>45744</v>
      </c>
      <c r="D45" t="inlineStr">
        <is>
          <t>HALLANDS LÄN</t>
        </is>
      </c>
      <c r="E45" t="inlineStr">
        <is>
          <t>FALKENBERG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30222-2019</t>
        </is>
      </c>
      <c r="B46" s="1" t="n">
        <v>43634</v>
      </c>
      <c r="C46" s="1" t="n">
        <v>45744</v>
      </c>
      <c r="D46" t="inlineStr">
        <is>
          <t>HALLANDS LÄN</t>
        </is>
      </c>
      <c r="E46" t="inlineStr">
        <is>
          <t>FALKENBERG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30224-2019</t>
        </is>
      </c>
      <c r="B47" s="1" t="n">
        <v>43634</v>
      </c>
      <c r="C47" s="1" t="n">
        <v>45744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30555-2019</t>
        </is>
      </c>
      <c r="B48" s="1" t="n">
        <v>43635</v>
      </c>
      <c r="C48" s="1" t="n">
        <v>45744</v>
      </c>
      <c r="D48" t="inlineStr">
        <is>
          <t>HALLANDS LÄN</t>
        </is>
      </c>
      <c r="E48" t="inlineStr">
        <is>
          <t>FALKENBERG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30560-2019</t>
        </is>
      </c>
      <c r="B49" s="1" t="n">
        <v>43635</v>
      </c>
      <c r="C49" s="1" t="n">
        <v>45744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30557-2019</t>
        </is>
      </c>
      <c r="B50" s="1" t="n">
        <v>43635</v>
      </c>
      <c r="C50" s="1" t="n">
        <v>45744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30846-2019</t>
        </is>
      </c>
      <c r="B51" s="1" t="n">
        <v>43636</v>
      </c>
      <c r="C51" s="1" t="n">
        <v>45744</v>
      </c>
      <c r="D51" t="inlineStr">
        <is>
          <t>HALLANDS LÄN</t>
        </is>
      </c>
      <c r="E51" t="inlineStr">
        <is>
          <t>FALKENBERG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32803-2019</t>
        </is>
      </c>
      <c r="B52" s="1" t="n">
        <v>43648</v>
      </c>
      <c r="C52" s="1" t="n">
        <v>45744</v>
      </c>
      <c r="D52" t="inlineStr">
        <is>
          <t>HALLANDS LÄN</t>
        </is>
      </c>
      <c r="E52" t="inlineStr">
        <is>
          <t>FALKENBERG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32802-2019</t>
        </is>
      </c>
      <c r="B53" s="1" t="n">
        <v>43648</v>
      </c>
      <c r="C53" s="1" t="n">
        <v>45744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34029-2019</t>
        </is>
      </c>
      <c r="B54" s="1" t="n">
        <v>43654</v>
      </c>
      <c r="C54" s="1" t="n">
        <v>45744</v>
      </c>
      <c r="D54" t="inlineStr">
        <is>
          <t>HALLANDS LÄN</t>
        </is>
      </c>
      <c r="E54" t="inlineStr">
        <is>
          <t>FALKENBERG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34403-2019</t>
        </is>
      </c>
      <c r="B55" s="1" t="n">
        <v>43656</v>
      </c>
      <c r="C55" s="1" t="n">
        <v>45744</v>
      </c>
      <c r="D55" t="inlineStr">
        <is>
          <t>HALLANDS LÄN</t>
        </is>
      </c>
      <c r="E55" t="inlineStr">
        <is>
          <t>FALKENBERG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34407-2019</t>
        </is>
      </c>
      <c r="B56" s="1" t="n">
        <v>43656</v>
      </c>
      <c r="C56" s="1" t="n">
        <v>45744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34730-2019</t>
        </is>
      </c>
      <c r="B57" s="1" t="n">
        <v>43657</v>
      </c>
      <c r="C57" s="1" t="n">
        <v>45744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34825-2019</t>
        </is>
      </c>
      <c r="B58" s="1" t="n">
        <v>43658</v>
      </c>
      <c r="C58" s="1" t="n">
        <v>45744</v>
      </c>
      <c r="D58" t="inlineStr">
        <is>
          <t>HALLANDS LÄN</t>
        </is>
      </c>
      <c r="E58" t="inlineStr">
        <is>
          <t>FALKENBERG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34826-2019</t>
        </is>
      </c>
      <c r="B59" s="1" t="n">
        <v>43658</v>
      </c>
      <c r="C59" s="1" t="n">
        <v>45744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35892-2019</t>
        </is>
      </c>
      <c r="B60" s="1" t="n">
        <v>43665</v>
      </c>
      <c r="C60" s="1" t="n">
        <v>45744</v>
      </c>
      <c r="D60" t="inlineStr">
        <is>
          <t>HALLANDS LÄN</t>
        </is>
      </c>
      <c r="E60" t="inlineStr">
        <is>
          <t>FALKENBERG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35881-2019</t>
        </is>
      </c>
      <c r="B61" s="1" t="n">
        <v>43665</v>
      </c>
      <c r="C61" s="1" t="n">
        <v>45744</v>
      </c>
      <c r="D61" t="inlineStr">
        <is>
          <t>HALLANDS LÄN</t>
        </is>
      </c>
      <c r="E61" t="inlineStr">
        <is>
          <t>FALKENBERG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35889-2019</t>
        </is>
      </c>
      <c r="B62" s="1" t="n">
        <v>43665</v>
      </c>
      <c r="C62" s="1" t="n">
        <v>45744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35866-2019</t>
        </is>
      </c>
      <c r="B63" s="1" t="n">
        <v>43665</v>
      </c>
      <c r="C63" s="1" t="n">
        <v>45744</v>
      </c>
      <c r="D63" t="inlineStr">
        <is>
          <t>HALLANDS LÄN</t>
        </is>
      </c>
      <c r="E63" t="inlineStr">
        <is>
          <t>FALKENBERG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36173-2019</t>
        </is>
      </c>
      <c r="B64" s="1" t="n">
        <v>43668</v>
      </c>
      <c r="C64" s="1" t="n">
        <v>45744</v>
      </c>
      <c r="D64" t="inlineStr">
        <is>
          <t>HALLANDS LÄN</t>
        </is>
      </c>
      <c r="E64" t="inlineStr">
        <is>
          <t>FALKENBERG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36172-2019</t>
        </is>
      </c>
      <c r="B65" s="1" t="n">
        <v>43668</v>
      </c>
      <c r="C65" s="1" t="n">
        <v>45744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36216-2019</t>
        </is>
      </c>
      <c r="B66" s="1" t="n">
        <v>43669</v>
      </c>
      <c r="C66" s="1" t="n">
        <v>45744</v>
      </c>
      <c r="D66" t="inlineStr">
        <is>
          <t>HALLANDS LÄN</t>
        </is>
      </c>
      <c r="E66" t="inlineStr">
        <is>
          <t>FALKENBERG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38968-2019</t>
        </is>
      </c>
      <c r="B67" s="1" t="n">
        <v>43689</v>
      </c>
      <c r="C67" s="1" t="n">
        <v>45744</v>
      </c>
      <c r="D67" t="inlineStr">
        <is>
          <t>HALLANDS LÄN</t>
        </is>
      </c>
      <c r="E67" t="inlineStr">
        <is>
          <t>FALKENBERG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39792-2019</t>
        </is>
      </c>
      <c r="B68" s="1" t="n">
        <v>43692</v>
      </c>
      <c r="C68" s="1" t="n">
        <v>45744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42934-2019</t>
        </is>
      </c>
      <c r="B69" s="1" t="n">
        <v>43705</v>
      </c>
      <c r="C69" s="1" t="n">
        <v>45744</v>
      </c>
      <c r="D69" t="inlineStr">
        <is>
          <t>HALLANDS LÄN</t>
        </is>
      </c>
      <c r="E69" t="inlineStr">
        <is>
          <t>FALKENBERG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44084-2019</t>
        </is>
      </c>
      <c r="B70" s="1" t="n">
        <v>43710</v>
      </c>
      <c r="C70" s="1" t="n">
        <v>45744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44258-2019</t>
        </is>
      </c>
      <c r="B71" s="1" t="n">
        <v>43710</v>
      </c>
      <c r="C71" s="1" t="n">
        <v>45744</v>
      </c>
      <c r="D71" t="inlineStr">
        <is>
          <t>HALLANDS LÄN</t>
        </is>
      </c>
      <c r="E71" t="inlineStr">
        <is>
          <t>FALKENBERG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44257-2019</t>
        </is>
      </c>
      <c r="B72" s="1" t="n">
        <v>43710</v>
      </c>
      <c r="C72" s="1" t="n">
        <v>45744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46088-2019</t>
        </is>
      </c>
      <c r="B73" s="1" t="n">
        <v>43718</v>
      </c>
      <c r="C73" s="1" t="n">
        <v>45744</v>
      </c>
      <c r="D73" t="inlineStr">
        <is>
          <t>HALLANDS LÄN</t>
        </is>
      </c>
      <c r="E73" t="inlineStr">
        <is>
          <t>FALKENBERG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51527-2019</t>
        </is>
      </c>
      <c r="B74" s="1" t="n">
        <v>43732</v>
      </c>
      <c r="C74" s="1" t="n">
        <v>45744</v>
      </c>
      <c r="D74" t="inlineStr">
        <is>
          <t>HALLANDS LÄN</t>
        </is>
      </c>
      <c r="E74" t="inlineStr">
        <is>
          <t>FALKENBERG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49479-2019</t>
        </is>
      </c>
      <c r="B75" s="1" t="n">
        <v>43732</v>
      </c>
      <c r="C75" s="1" t="n">
        <v>45744</v>
      </c>
      <c r="D75" t="inlineStr">
        <is>
          <t>HALLANDS LÄN</t>
        </is>
      </c>
      <c r="E75" t="inlineStr">
        <is>
          <t>FALKENBERG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54623-2019</t>
        </is>
      </c>
      <c r="B76" s="1" t="n">
        <v>43748</v>
      </c>
      <c r="C76" s="1" t="n">
        <v>45744</v>
      </c>
      <c r="D76" t="inlineStr">
        <is>
          <t>HALLANDS LÄN</t>
        </is>
      </c>
      <c r="E76" t="inlineStr">
        <is>
          <t>FALKENBERG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53587-2019</t>
        </is>
      </c>
      <c r="B77" s="1" t="n">
        <v>43749</v>
      </c>
      <c r="C77" s="1" t="n">
        <v>45744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53880-2019</t>
        </is>
      </c>
      <c r="B78" s="1" t="n">
        <v>43752</v>
      </c>
      <c r="C78" s="1" t="n">
        <v>45744</v>
      </c>
      <c r="D78" t="inlineStr">
        <is>
          <t>HALLANDS LÄN</t>
        </is>
      </c>
      <c r="E78" t="inlineStr">
        <is>
          <t>FALKENBERG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53882-2019</t>
        </is>
      </c>
      <c r="B79" s="1" t="n">
        <v>43752</v>
      </c>
      <c r="C79" s="1" t="n">
        <v>45744</v>
      </c>
      <c r="D79" t="inlineStr">
        <is>
          <t>HALLANDS LÄN</t>
        </is>
      </c>
      <c r="E79" t="inlineStr">
        <is>
          <t>FALKENBERG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54626-2019</t>
        </is>
      </c>
      <c r="B80" s="1" t="n">
        <v>43754</v>
      </c>
      <c r="C80" s="1" t="n">
        <v>45744</v>
      </c>
      <c r="D80" t="inlineStr">
        <is>
          <t>HALLANDS LÄN</t>
        </is>
      </c>
      <c r="E80" t="inlineStr">
        <is>
          <t>FALKENBERG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54432-2019</t>
        </is>
      </c>
      <c r="B81" s="1" t="n">
        <v>43754</v>
      </c>
      <c r="C81" s="1" t="n">
        <v>45744</v>
      </c>
      <c r="D81" t="inlineStr">
        <is>
          <t>HALLANDS LÄN</t>
        </is>
      </c>
      <c r="E81" t="inlineStr">
        <is>
          <t>FALKENBERG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55036-2019</t>
        </is>
      </c>
      <c r="B82" s="1" t="n">
        <v>43755</v>
      </c>
      <c r="C82" s="1" t="n">
        <v>45744</v>
      </c>
      <c r="D82" t="inlineStr">
        <is>
          <t>HALLANDS LÄN</t>
        </is>
      </c>
      <c r="E82" t="inlineStr">
        <is>
          <t>FALKENBERG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55035-2019</t>
        </is>
      </c>
      <c r="B83" s="1" t="n">
        <v>43755</v>
      </c>
      <c r="C83" s="1" t="n">
        <v>45744</v>
      </c>
      <c r="D83" t="inlineStr">
        <is>
          <t>HALLANDS LÄN</t>
        </is>
      </c>
      <c r="E83" t="inlineStr">
        <is>
          <t>FALKENBERG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55037-2019</t>
        </is>
      </c>
      <c r="B84" s="1" t="n">
        <v>43755</v>
      </c>
      <c r="C84" s="1" t="n">
        <v>45744</v>
      </c>
      <c r="D84" t="inlineStr">
        <is>
          <t>HALLANDS LÄN</t>
        </is>
      </c>
      <c r="E84" t="inlineStr">
        <is>
          <t>FALKENBERG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56020-2019</t>
        </is>
      </c>
      <c r="B85" s="1" t="n">
        <v>43761</v>
      </c>
      <c r="C85" s="1" t="n">
        <v>45744</v>
      </c>
      <c r="D85" t="inlineStr">
        <is>
          <t>HALLANDS LÄN</t>
        </is>
      </c>
      <c r="E85" t="inlineStr">
        <is>
          <t>FALKENBERG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56226-2019</t>
        </is>
      </c>
      <c r="B86" s="1" t="n">
        <v>43762</v>
      </c>
      <c r="C86" s="1" t="n">
        <v>45744</v>
      </c>
      <c r="D86" t="inlineStr">
        <is>
          <t>HALLANDS LÄN</t>
        </is>
      </c>
      <c r="E86" t="inlineStr">
        <is>
          <t>FALKENBERG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56390-2019</t>
        </is>
      </c>
      <c r="B87" s="1" t="n">
        <v>43762</v>
      </c>
      <c r="C87" s="1" t="n">
        <v>45744</v>
      </c>
      <c r="D87" t="inlineStr">
        <is>
          <t>HALLANDS LÄN</t>
        </is>
      </c>
      <c r="E87" t="inlineStr">
        <is>
          <t>FALKENBERG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57709-2019</t>
        </is>
      </c>
      <c r="B88" s="1" t="n">
        <v>43768</v>
      </c>
      <c r="C88" s="1" t="n">
        <v>45744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57707-2019</t>
        </is>
      </c>
      <c r="B89" s="1" t="n">
        <v>43768</v>
      </c>
      <c r="C89" s="1" t="n">
        <v>45744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58578-2019</t>
        </is>
      </c>
      <c r="B90" s="1" t="n">
        <v>43773</v>
      </c>
      <c r="C90" s="1" t="n">
        <v>45744</v>
      </c>
      <c r="D90" t="inlineStr">
        <is>
          <t>HALLANDS LÄN</t>
        </is>
      </c>
      <c r="E90" t="inlineStr">
        <is>
          <t>FALKENBERG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58728-2019</t>
        </is>
      </c>
      <c r="B91" s="1" t="n">
        <v>43773</v>
      </c>
      <c r="C91" s="1" t="n">
        <v>45744</v>
      </c>
      <c r="D91" t="inlineStr">
        <is>
          <t>HALLANDS LÄN</t>
        </is>
      </c>
      <c r="E91" t="inlineStr">
        <is>
          <t>FALKENBERG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58690-2019</t>
        </is>
      </c>
      <c r="B92" s="1" t="n">
        <v>43773</v>
      </c>
      <c r="C92" s="1" t="n">
        <v>45744</v>
      </c>
      <c r="D92" t="inlineStr">
        <is>
          <t>HALLANDS LÄN</t>
        </is>
      </c>
      <c r="E92" t="inlineStr">
        <is>
          <t>FALKENBERG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58737-2019</t>
        </is>
      </c>
      <c r="B93" s="1" t="n">
        <v>43773</v>
      </c>
      <c r="C93" s="1" t="n">
        <v>45744</v>
      </c>
      <c r="D93" t="inlineStr">
        <is>
          <t>HALLANDS LÄN</t>
        </is>
      </c>
      <c r="E93" t="inlineStr">
        <is>
          <t>FALKENBERG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59161-2019</t>
        </is>
      </c>
      <c r="B94" s="1" t="n">
        <v>43775</v>
      </c>
      <c r="C94" s="1" t="n">
        <v>45744</v>
      </c>
      <c r="D94" t="inlineStr">
        <is>
          <t>HALLANDS LÄN</t>
        </is>
      </c>
      <c r="E94" t="inlineStr">
        <is>
          <t>FALKENBERG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59162-2019</t>
        </is>
      </c>
      <c r="B95" s="1" t="n">
        <v>43775</v>
      </c>
      <c r="C95" s="1" t="n">
        <v>45744</v>
      </c>
      <c r="D95" t="inlineStr">
        <is>
          <t>HALLANDS LÄN</t>
        </is>
      </c>
      <c r="E95" t="inlineStr">
        <is>
          <t>FALKENBERG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59798-2019</t>
        </is>
      </c>
      <c r="B96" s="1" t="n">
        <v>43777</v>
      </c>
      <c r="C96" s="1" t="n">
        <v>45744</v>
      </c>
      <c r="D96" t="inlineStr">
        <is>
          <t>HALLANDS LÄN</t>
        </is>
      </c>
      <c r="E96" t="inlineStr">
        <is>
          <t>FALKENBERG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61225-2019</t>
        </is>
      </c>
      <c r="B97" s="1" t="n">
        <v>43783</v>
      </c>
      <c r="C97" s="1" t="n">
        <v>45744</v>
      </c>
      <c r="D97" t="inlineStr">
        <is>
          <t>HALLANDS LÄN</t>
        </is>
      </c>
      <c r="E97" t="inlineStr">
        <is>
          <t>FALKENBERG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61590-2019</t>
        </is>
      </c>
      <c r="B98" s="1" t="n">
        <v>43784</v>
      </c>
      <c r="C98" s="1" t="n">
        <v>45744</v>
      </c>
      <c r="D98" t="inlineStr">
        <is>
          <t>HALLANDS LÄN</t>
        </is>
      </c>
      <c r="E98" t="inlineStr">
        <is>
          <t>FALKENBERG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62533-2019</t>
        </is>
      </c>
      <c r="B99" s="1" t="n">
        <v>43789</v>
      </c>
      <c r="C99" s="1" t="n">
        <v>45744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66247-2019</t>
        </is>
      </c>
      <c r="B100" s="1" t="n">
        <v>43805</v>
      </c>
      <c r="C100" s="1" t="n">
        <v>45744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66249-2019</t>
        </is>
      </c>
      <c r="B101" s="1" t="n">
        <v>43805</v>
      </c>
      <c r="C101" s="1" t="n">
        <v>45744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1117-2020</t>
        </is>
      </c>
      <c r="B102" s="1" t="n">
        <v>43819</v>
      </c>
      <c r="C102" s="1" t="n">
        <v>45744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68970-2019</t>
        </is>
      </c>
      <c r="B103" s="1" t="n">
        <v>43822</v>
      </c>
      <c r="C103" s="1" t="n">
        <v>45744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69110-2019</t>
        </is>
      </c>
      <c r="B104" s="1" t="n">
        <v>43829</v>
      </c>
      <c r="C104" s="1" t="n">
        <v>45744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69108-2019</t>
        </is>
      </c>
      <c r="B105" s="1" t="n">
        <v>43829</v>
      </c>
      <c r="C105" s="1" t="n">
        <v>45744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69161-2019</t>
        </is>
      </c>
      <c r="B106" s="1" t="n">
        <v>43829</v>
      </c>
      <c r="C106" s="1" t="n">
        <v>45744</v>
      </c>
      <c r="D106" t="inlineStr">
        <is>
          <t>HALLANDS LÄN</t>
        </is>
      </c>
      <c r="E106" t="inlineStr">
        <is>
          <t>FALKENBERG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1242-2020</t>
        </is>
      </c>
      <c r="B107" s="1" t="n">
        <v>43838</v>
      </c>
      <c r="C107" s="1" t="n">
        <v>45744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18.2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2800-2020</t>
        </is>
      </c>
      <c r="B108" s="1" t="n">
        <v>43843</v>
      </c>
      <c r="C108" s="1" t="n">
        <v>45744</v>
      </c>
      <c r="D108" t="inlineStr">
        <is>
          <t>HALLANDS LÄN</t>
        </is>
      </c>
      <c r="E108" t="inlineStr">
        <is>
          <t>FALKENBERG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1696-2020</t>
        </is>
      </c>
      <c r="B109" s="1" t="n">
        <v>43844</v>
      </c>
      <c r="C109" s="1" t="n">
        <v>45744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1922-2020</t>
        </is>
      </c>
      <c r="B110" s="1" t="n">
        <v>43845</v>
      </c>
      <c r="C110" s="1" t="n">
        <v>45744</v>
      </c>
      <c r="D110" t="inlineStr">
        <is>
          <t>HALLANDS LÄN</t>
        </is>
      </c>
      <c r="E110" t="inlineStr">
        <is>
          <t>FALKENBERG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2022-2020</t>
        </is>
      </c>
      <c r="B111" s="1" t="n">
        <v>43845</v>
      </c>
      <c r="C111" s="1" t="n">
        <v>45744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2084-2020</t>
        </is>
      </c>
      <c r="B112" s="1" t="n">
        <v>43845</v>
      </c>
      <c r="C112" s="1" t="n">
        <v>45744</v>
      </c>
      <c r="D112" t="inlineStr">
        <is>
          <t>HALLANDS LÄN</t>
        </is>
      </c>
      <c r="E112" t="inlineStr">
        <is>
          <t>FALKENBERG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3461-2020</t>
        </is>
      </c>
      <c r="B113" s="1" t="n">
        <v>43852</v>
      </c>
      <c r="C113" s="1" t="n">
        <v>45744</v>
      </c>
      <c r="D113" t="inlineStr">
        <is>
          <t>HALLANDS LÄN</t>
        </is>
      </c>
      <c r="E113" t="inlineStr">
        <is>
          <t>FALKENBERG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4787-2020</t>
        </is>
      </c>
      <c r="B114" s="1" t="n">
        <v>43859</v>
      </c>
      <c r="C114" s="1" t="n">
        <v>45744</v>
      </c>
      <c r="D114" t="inlineStr">
        <is>
          <t>HALLANDS LÄN</t>
        </is>
      </c>
      <c r="E114" t="inlineStr">
        <is>
          <t>FALKENBERG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4885-2020</t>
        </is>
      </c>
      <c r="B115" s="1" t="n">
        <v>43859</v>
      </c>
      <c r="C115" s="1" t="n">
        <v>45744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4789-2020</t>
        </is>
      </c>
      <c r="B116" s="1" t="n">
        <v>43859</v>
      </c>
      <c r="C116" s="1" t="n">
        <v>45744</v>
      </c>
      <c r="D116" t="inlineStr">
        <is>
          <t>HALLANDS LÄN</t>
        </is>
      </c>
      <c r="E116" t="inlineStr">
        <is>
          <t>FALKENBERG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5066-2020</t>
        </is>
      </c>
      <c r="B117" s="1" t="n">
        <v>43859</v>
      </c>
      <c r="C117" s="1" t="n">
        <v>45744</v>
      </c>
      <c r="D117" t="inlineStr">
        <is>
          <t>HALLANDS LÄN</t>
        </is>
      </c>
      <c r="E117" t="inlineStr">
        <is>
          <t>FALKENBERG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5143-2020</t>
        </is>
      </c>
      <c r="B118" s="1" t="n">
        <v>43860</v>
      </c>
      <c r="C118" s="1" t="n">
        <v>45744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7938-2020</t>
        </is>
      </c>
      <c r="B119" s="1" t="n">
        <v>43873</v>
      </c>
      <c r="C119" s="1" t="n">
        <v>45744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8720-2020</t>
        </is>
      </c>
      <c r="B120" s="1" t="n">
        <v>43878</v>
      </c>
      <c r="C120" s="1" t="n">
        <v>45744</v>
      </c>
      <c r="D120" t="inlineStr">
        <is>
          <t>HALLANDS LÄN</t>
        </is>
      </c>
      <c r="E120" t="inlineStr">
        <is>
          <t>FALKENBERG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9440-2020</t>
        </is>
      </c>
      <c r="B121" s="1" t="n">
        <v>43880</v>
      </c>
      <c r="C121" s="1" t="n">
        <v>45744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9640-2020</t>
        </is>
      </c>
      <c r="B122" s="1" t="n">
        <v>43881</v>
      </c>
      <c r="C122" s="1" t="n">
        <v>45744</v>
      </c>
      <c r="D122" t="inlineStr">
        <is>
          <t>HALLANDS LÄN</t>
        </is>
      </c>
      <c r="E122" t="inlineStr">
        <is>
          <t>FALKENBERG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13341-2020</t>
        </is>
      </c>
      <c r="B123" s="1" t="n">
        <v>43902</v>
      </c>
      <c r="C123" s="1" t="n">
        <v>45744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13842-2020</t>
        </is>
      </c>
      <c r="B124" s="1" t="n">
        <v>43906</v>
      </c>
      <c r="C124" s="1" t="n">
        <v>45744</v>
      </c>
      <c r="D124" t="inlineStr">
        <is>
          <t>HALLANDS LÄN</t>
        </is>
      </c>
      <c r="E124" t="inlineStr">
        <is>
          <t>FALKENBERG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14550-2020</t>
        </is>
      </c>
      <c r="B125" s="1" t="n">
        <v>43908</v>
      </c>
      <c r="C125" s="1" t="n">
        <v>45744</v>
      </c>
      <c r="D125" t="inlineStr">
        <is>
          <t>HALLANDS LÄN</t>
        </is>
      </c>
      <c r="E125" t="inlineStr">
        <is>
          <t>FALKENBERG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15418-2020</t>
        </is>
      </c>
      <c r="B126" s="1" t="n">
        <v>43914</v>
      </c>
      <c r="C126" s="1" t="n">
        <v>45744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15417-2020</t>
        </is>
      </c>
      <c r="B127" s="1" t="n">
        <v>43914</v>
      </c>
      <c r="C127" s="1" t="n">
        <v>45744</v>
      </c>
      <c r="D127" t="inlineStr">
        <is>
          <t>HALLANDS LÄN</t>
        </is>
      </c>
      <c r="E127" t="inlineStr">
        <is>
          <t>FALKENBERG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17557-2020</t>
        </is>
      </c>
      <c r="B128" s="1" t="n">
        <v>43914</v>
      </c>
      <c r="C128" s="1" t="n">
        <v>45744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15707-2020</t>
        </is>
      </c>
      <c r="B129" s="1" t="n">
        <v>43915</v>
      </c>
      <c r="C129" s="1" t="n">
        <v>45744</v>
      </c>
      <c r="D129" t="inlineStr">
        <is>
          <t>HALLANDS LÄN</t>
        </is>
      </c>
      <c r="E129" t="inlineStr">
        <is>
          <t>FALKENBERG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15902-2020</t>
        </is>
      </c>
      <c r="B130" s="1" t="n">
        <v>43916</v>
      </c>
      <c r="C130" s="1" t="n">
        <v>45744</v>
      </c>
      <c r="D130" t="inlineStr">
        <is>
          <t>HALLANDS LÄN</t>
        </is>
      </c>
      <c r="E130" t="inlineStr">
        <is>
          <t>FALKENBERG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16103-2020</t>
        </is>
      </c>
      <c r="B131" s="1" t="n">
        <v>43916</v>
      </c>
      <c r="C131" s="1" t="n">
        <v>45744</v>
      </c>
      <c r="D131" t="inlineStr">
        <is>
          <t>HALLANDS LÄN</t>
        </is>
      </c>
      <c r="E131" t="inlineStr">
        <is>
          <t>FALKENBERG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15905-2020</t>
        </is>
      </c>
      <c r="B132" s="1" t="n">
        <v>43916</v>
      </c>
      <c r="C132" s="1" t="n">
        <v>45744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17808-2020</t>
        </is>
      </c>
      <c r="B133" s="1" t="n">
        <v>43917</v>
      </c>
      <c r="C133" s="1" t="n">
        <v>45744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17819-2020</t>
        </is>
      </c>
      <c r="B134" s="1" t="n">
        <v>43920</v>
      </c>
      <c r="C134" s="1" t="n">
        <v>45744</v>
      </c>
      <c r="D134" t="inlineStr">
        <is>
          <t>HALLANDS LÄN</t>
        </is>
      </c>
      <c r="E134" t="inlineStr">
        <is>
          <t>FALKENBERG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17057-2020</t>
        </is>
      </c>
      <c r="B135" s="1" t="n">
        <v>43921</v>
      </c>
      <c r="C135" s="1" t="n">
        <v>45744</v>
      </c>
      <c r="D135" t="inlineStr">
        <is>
          <t>HALLANDS LÄN</t>
        </is>
      </c>
      <c r="E135" t="inlineStr">
        <is>
          <t>FALKENBERG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18599-2020</t>
        </is>
      </c>
      <c r="B136" s="1" t="n">
        <v>43929</v>
      </c>
      <c r="C136" s="1" t="n">
        <v>45744</v>
      </c>
      <c r="D136" t="inlineStr">
        <is>
          <t>HALLANDS LÄN</t>
        </is>
      </c>
      <c r="E136" t="inlineStr">
        <is>
          <t>FALKENBERG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18454-2020</t>
        </is>
      </c>
      <c r="B137" s="1" t="n">
        <v>43929</v>
      </c>
      <c r="C137" s="1" t="n">
        <v>45744</v>
      </c>
      <c r="D137" t="inlineStr">
        <is>
          <t>HALLANDS LÄN</t>
        </is>
      </c>
      <c r="E137" t="inlineStr">
        <is>
          <t>FALKENBERG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18621-2020</t>
        </is>
      </c>
      <c r="B138" s="1" t="n">
        <v>43930</v>
      </c>
      <c r="C138" s="1" t="n">
        <v>45744</v>
      </c>
      <c r="D138" t="inlineStr">
        <is>
          <t>HALLANDS LÄN</t>
        </is>
      </c>
      <c r="E138" t="inlineStr">
        <is>
          <t>FALKENBERG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19331-2020</t>
        </is>
      </c>
      <c r="B139" s="1" t="n">
        <v>43937</v>
      </c>
      <c r="C139" s="1" t="n">
        <v>45744</v>
      </c>
      <c r="D139" t="inlineStr">
        <is>
          <t>HALLANDS LÄN</t>
        </is>
      </c>
      <c r="E139" t="inlineStr">
        <is>
          <t>FALKENBERG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19756-2020</t>
        </is>
      </c>
      <c r="B140" s="1" t="n">
        <v>43942</v>
      </c>
      <c r="C140" s="1" t="n">
        <v>45744</v>
      </c>
      <c r="D140" t="inlineStr">
        <is>
          <t>HALLANDS LÄN</t>
        </is>
      </c>
      <c r="E140" t="inlineStr">
        <is>
          <t>FALKENBERG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19762-2020</t>
        </is>
      </c>
      <c r="B141" s="1" t="n">
        <v>43942</v>
      </c>
      <c r="C141" s="1" t="n">
        <v>45744</v>
      </c>
      <c r="D141" t="inlineStr">
        <is>
          <t>HALLANDS LÄN</t>
        </is>
      </c>
      <c r="E141" t="inlineStr">
        <is>
          <t>FALKENBERG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20188-2020</t>
        </is>
      </c>
      <c r="B142" s="1" t="n">
        <v>43944</v>
      </c>
      <c r="C142" s="1" t="n">
        <v>45744</v>
      </c>
      <c r="D142" t="inlineStr">
        <is>
          <t>HALLANDS LÄN</t>
        </is>
      </c>
      <c r="E142" t="inlineStr">
        <is>
          <t>FALKENBERG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20186-2020</t>
        </is>
      </c>
      <c r="B143" s="1" t="n">
        <v>43944</v>
      </c>
      <c r="C143" s="1" t="n">
        <v>45744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20180-2020</t>
        </is>
      </c>
      <c r="B144" s="1" t="n">
        <v>43944</v>
      </c>
      <c r="C144" s="1" t="n">
        <v>45744</v>
      </c>
      <c r="D144" t="inlineStr">
        <is>
          <t>HALLANDS LÄN</t>
        </is>
      </c>
      <c r="E144" t="inlineStr">
        <is>
          <t>FALKENBERG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20183-2020</t>
        </is>
      </c>
      <c r="B145" s="1" t="n">
        <v>43944</v>
      </c>
      <c r="C145" s="1" t="n">
        <v>45744</v>
      </c>
      <c r="D145" t="inlineStr">
        <is>
          <t>HALLANDS LÄN</t>
        </is>
      </c>
      <c r="E145" t="inlineStr">
        <is>
          <t>FALKENBERG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20281-2020</t>
        </is>
      </c>
      <c r="B146" s="1" t="n">
        <v>43945</v>
      </c>
      <c r="C146" s="1" t="n">
        <v>45744</v>
      </c>
      <c r="D146" t="inlineStr">
        <is>
          <t>HALLANDS LÄN</t>
        </is>
      </c>
      <c r="E146" t="inlineStr">
        <is>
          <t>FALKENBERG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21831-2020</t>
        </is>
      </c>
      <c r="B147" s="1" t="n">
        <v>43955</v>
      </c>
      <c r="C147" s="1" t="n">
        <v>45744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21813-2020</t>
        </is>
      </c>
      <c r="B148" s="1" t="n">
        <v>43955</v>
      </c>
      <c r="C148" s="1" t="n">
        <v>45744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24745-2020</t>
        </is>
      </c>
      <c r="B149" s="1" t="n">
        <v>43978</v>
      </c>
      <c r="C149" s="1" t="n">
        <v>45744</v>
      </c>
      <c r="D149" t="inlineStr">
        <is>
          <t>HALLANDS LÄN</t>
        </is>
      </c>
      <c r="E149" t="inlineStr">
        <is>
          <t>FALKENBERG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25077-2020</t>
        </is>
      </c>
      <c r="B150" s="1" t="n">
        <v>43978</v>
      </c>
      <c r="C150" s="1" t="n">
        <v>45744</v>
      </c>
      <c r="D150" t="inlineStr">
        <is>
          <t>HALLANDS LÄN</t>
        </is>
      </c>
      <c r="E150" t="inlineStr">
        <is>
          <t>FALKENBERG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24717-2020</t>
        </is>
      </c>
      <c r="B151" s="1" t="n">
        <v>43978</v>
      </c>
      <c r="C151" s="1" t="n">
        <v>45744</v>
      </c>
      <c r="D151" t="inlineStr">
        <is>
          <t>HALLANDS LÄN</t>
        </is>
      </c>
      <c r="E151" t="inlineStr">
        <is>
          <t>FALKENBERG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25278-2020</t>
        </is>
      </c>
      <c r="B152" s="1" t="n">
        <v>43980</v>
      </c>
      <c r="C152" s="1" t="n">
        <v>45744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26231-2020</t>
        </is>
      </c>
      <c r="B153" s="1" t="n">
        <v>43986</v>
      </c>
      <c r="C153" s="1" t="n">
        <v>45744</v>
      </c>
      <c r="D153" t="inlineStr">
        <is>
          <t>HALLANDS LÄN</t>
        </is>
      </c>
      <c r="E153" t="inlineStr">
        <is>
          <t>FALKENBERG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29553-2020</t>
        </is>
      </c>
      <c r="B154" s="1" t="n">
        <v>44005</v>
      </c>
      <c r="C154" s="1" t="n">
        <v>45744</v>
      </c>
      <c r="D154" t="inlineStr">
        <is>
          <t>HALLANDS LÄN</t>
        </is>
      </c>
      <c r="E154" t="inlineStr">
        <is>
          <t>FALKENBERG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30539-2020</t>
        </is>
      </c>
      <c r="B155" s="1" t="n">
        <v>44008</v>
      </c>
      <c r="C155" s="1" t="n">
        <v>45744</v>
      </c>
      <c r="D155" t="inlineStr">
        <is>
          <t>HALLANDS LÄN</t>
        </is>
      </c>
      <c r="E155" t="inlineStr">
        <is>
          <t>FALKENBERG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30536-2020</t>
        </is>
      </c>
      <c r="B156" s="1" t="n">
        <v>44008</v>
      </c>
      <c r="C156" s="1" t="n">
        <v>45744</v>
      </c>
      <c r="D156" t="inlineStr">
        <is>
          <t>HALLANDS LÄN</t>
        </is>
      </c>
      <c r="E156" t="inlineStr">
        <is>
          <t>FALKENBERG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32092-2020</t>
        </is>
      </c>
      <c r="B157" s="1" t="n">
        <v>44015</v>
      </c>
      <c r="C157" s="1" t="n">
        <v>45744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32446-2020</t>
        </is>
      </c>
      <c r="B158" s="1" t="n">
        <v>44018</v>
      </c>
      <c r="C158" s="1" t="n">
        <v>45744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32491-2020</t>
        </is>
      </c>
      <c r="B159" s="1" t="n">
        <v>44018</v>
      </c>
      <c r="C159" s="1" t="n">
        <v>45744</v>
      </c>
      <c r="D159" t="inlineStr">
        <is>
          <t>HALLANDS LÄN</t>
        </is>
      </c>
      <c r="E159" t="inlineStr">
        <is>
          <t>FALKENBERG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33772-2020</t>
        </is>
      </c>
      <c r="B160" s="1" t="n">
        <v>44026</v>
      </c>
      <c r="C160" s="1" t="n">
        <v>45744</v>
      </c>
      <c r="D160" t="inlineStr">
        <is>
          <t>HALLANDS LÄN</t>
        </is>
      </c>
      <c r="E160" t="inlineStr">
        <is>
          <t>FALKENBERG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35653-2020</t>
        </is>
      </c>
      <c r="B161" s="1" t="n">
        <v>44046</v>
      </c>
      <c r="C161" s="1" t="n">
        <v>45744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40862-2020</t>
        </is>
      </c>
      <c r="B162" s="1" t="n">
        <v>44070</v>
      </c>
      <c r="C162" s="1" t="n">
        <v>45744</v>
      </c>
      <c r="D162" t="inlineStr">
        <is>
          <t>HALLANDS LÄN</t>
        </is>
      </c>
      <c r="E162" t="inlineStr">
        <is>
          <t>FALKENBERG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41041-2020</t>
        </is>
      </c>
      <c r="B163" s="1" t="n">
        <v>44070</v>
      </c>
      <c r="C163" s="1" t="n">
        <v>45744</v>
      </c>
      <c r="D163" t="inlineStr">
        <is>
          <t>HALLANDS LÄN</t>
        </is>
      </c>
      <c r="E163" t="inlineStr">
        <is>
          <t>FALKENBERG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41045-2020</t>
        </is>
      </c>
      <c r="B164" s="1" t="n">
        <v>44071</v>
      </c>
      <c r="C164" s="1" t="n">
        <v>45744</v>
      </c>
      <c r="D164" t="inlineStr">
        <is>
          <t>HALLANDS LÄN</t>
        </is>
      </c>
      <c r="E164" t="inlineStr">
        <is>
          <t>FALKENBERG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42600-2020</t>
        </is>
      </c>
      <c r="B165" s="1" t="n">
        <v>44077</v>
      </c>
      <c r="C165" s="1" t="n">
        <v>45744</v>
      </c>
      <c r="D165" t="inlineStr">
        <is>
          <t>HALLANDS LÄN</t>
        </is>
      </c>
      <c r="E165" t="inlineStr">
        <is>
          <t>FALKENBERG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44023-2020</t>
        </is>
      </c>
      <c r="B166" s="1" t="n">
        <v>44083</v>
      </c>
      <c r="C166" s="1" t="n">
        <v>45744</v>
      </c>
      <c r="D166" t="inlineStr">
        <is>
          <t>HALLANDS LÄN</t>
        </is>
      </c>
      <c r="E166" t="inlineStr">
        <is>
          <t>FALKENBERG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46032-2020</t>
        </is>
      </c>
      <c r="B167" s="1" t="n">
        <v>44091</v>
      </c>
      <c r="C167" s="1" t="n">
        <v>45744</v>
      </c>
      <c r="D167" t="inlineStr">
        <is>
          <t>HALLANDS LÄN</t>
        </is>
      </c>
      <c r="E167" t="inlineStr">
        <is>
          <t>FALKENBERG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46011-2020</t>
        </is>
      </c>
      <c r="B168" s="1" t="n">
        <v>44091</v>
      </c>
      <c r="C168" s="1" t="n">
        <v>45744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46074-2020</t>
        </is>
      </c>
      <c r="B169" s="1" t="n">
        <v>44091</v>
      </c>
      <c r="C169" s="1" t="n">
        <v>45744</v>
      </c>
      <c r="D169" t="inlineStr">
        <is>
          <t>HALLANDS LÄN</t>
        </is>
      </c>
      <c r="E169" t="inlineStr">
        <is>
          <t>FALKENBERG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46056-2020</t>
        </is>
      </c>
      <c r="B170" s="1" t="n">
        <v>44091</v>
      </c>
      <c r="C170" s="1" t="n">
        <v>45744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47025-2020</t>
        </is>
      </c>
      <c r="B171" s="1" t="n">
        <v>44096</v>
      </c>
      <c r="C171" s="1" t="n">
        <v>45744</v>
      </c>
      <c r="D171" t="inlineStr">
        <is>
          <t>HALLANDS LÄN</t>
        </is>
      </c>
      <c r="E171" t="inlineStr">
        <is>
          <t>FALKENBERG</t>
        </is>
      </c>
      <c r="F171" t="inlineStr">
        <is>
          <t>Bergvik skog väst AB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47691-2020</t>
        </is>
      </c>
      <c r="B172" s="1" t="n">
        <v>44098</v>
      </c>
      <c r="C172" s="1" t="n">
        <v>45744</v>
      </c>
      <c r="D172" t="inlineStr">
        <is>
          <t>HALLANDS LÄN</t>
        </is>
      </c>
      <c r="E172" t="inlineStr">
        <is>
          <t>FALKENBERG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48047-2020</t>
        </is>
      </c>
      <c r="B173" s="1" t="n">
        <v>44099</v>
      </c>
      <c r="C173" s="1" t="n">
        <v>45744</v>
      </c>
      <c r="D173" t="inlineStr">
        <is>
          <t>HALLANDS LÄN</t>
        </is>
      </c>
      <c r="E173" t="inlineStr">
        <is>
          <t>FALKENBERG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50242-2020</t>
        </is>
      </c>
      <c r="B174" s="1" t="n">
        <v>44109</v>
      </c>
      <c r="C174" s="1" t="n">
        <v>45744</v>
      </c>
      <c r="D174" t="inlineStr">
        <is>
          <t>HALLANDS LÄN</t>
        </is>
      </c>
      <c r="E174" t="inlineStr">
        <is>
          <t>FALKENBERG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51651-2020</t>
        </is>
      </c>
      <c r="B175" s="1" t="n">
        <v>44109</v>
      </c>
      <c r="C175" s="1" t="n">
        <v>45744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51656-2020</t>
        </is>
      </c>
      <c r="B176" s="1" t="n">
        <v>44109</v>
      </c>
      <c r="C176" s="1" t="n">
        <v>45744</v>
      </c>
      <c r="D176" t="inlineStr">
        <is>
          <t>HALLANDS LÄN</t>
        </is>
      </c>
      <c r="E176" t="inlineStr">
        <is>
          <t>FALKENBERG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51645-2020</t>
        </is>
      </c>
      <c r="B177" s="1" t="n">
        <v>44109</v>
      </c>
      <c r="C177" s="1" t="n">
        <v>45744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51603-2020</t>
        </is>
      </c>
      <c r="B178" s="1" t="n">
        <v>44113</v>
      </c>
      <c r="C178" s="1" t="n">
        <v>45744</v>
      </c>
      <c r="D178" t="inlineStr">
        <is>
          <t>HALLANDS LÄN</t>
        </is>
      </c>
      <c r="E178" t="inlineStr">
        <is>
          <t>FALKENBERG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45744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52982-2020</t>
        </is>
      </c>
      <c r="B180" s="1" t="n">
        <v>44119</v>
      </c>
      <c r="C180" s="1" t="n">
        <v>45744</v>
      </c>
      <c r="D180" t="inlineStr">
        <is>
          <t>HALLANDS LÄN</t>
        </is>
      </c>
      <c r="E180" t="inlineStr">
        <is>
          <t>FALKENBERG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54442-2020</t>
        </is>
      </c>
      <c r="B181" s="1" t="n">
        <v>44126</v>
      </c>
      <c r="C181" s="1" t="n">
        <v>45744</v>
      </c>
      <c r="D181" t="inlineStr">
        <is>
          <t>HALLANDS LÄN</t>
        </is>
      </c>
      <c r="E181" t="inlineStr">
        <is>
          <t>FALKENBERG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54558-2020</t>
        </is>
      </c>
      <c r="B182" s="1" t="n">
        <v>44126</v>
      </c>
      <c r="C182" s="1" t="n">
        <v>45744</v>
      </c>
      <c r="D182" t="inlineStr">
        <is>
          <t>HALLANDS LÄN</t>
        </is>
      </c>
      <c r="E182" t="inlineStr">
        <is>
          <t>FALKENBERG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55798-2020</t>
        </is>
      </c>
      <c r="B183" s="1" t="n">
        <v>44132</v>
      </c>
      <c r="C183" s="1" t="n">
        <v>45744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55796-2020</t>
        </is>
      </c>
      <c r="B184" s="1" t="n">
        <v>44132</v>
      </c>
      <c r="C184" s="1" t="n">
        <v>45744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56152-2020</t>
        </is>
      </c>
      <c r="B185" s="1" t="n">
        <v>44133</v>
      </c>
      <c r="C185" s="1" t="n">
        <v>45744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56876-2020</t>
        </is>
      </c>
      <c r="B186" s="1" t="n">
        <v>44134</v>
      </c>
      <c r="C186" s="1" t="n">
        <v>45744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56665-2020</t>
        </is>
      </c>
      <c r="B187" s="1" t="n">
        <v>44137</v>
      </c>
      <c r="C187" s="1" t="n">
        <v>45744</v>
      </c>
      <c r="D187" t="inlineStr">
        <is>
          <t>HALLANDS LÄN</t>
        </is>
      </c>
      <c r="E187" t="inlineStr">
        <is>
          <t>FALKENBERG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58306-2020</t>
        </is>
      </c>
      <c r="B188" s="1" t="n">
        <v>44141</v>
      </c>
      <c r="C188" s="1" t="n">
        <v>45744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58389-2020</t>
        </is>
      </c>
      <c r="B189" s="1" t="n">
        <v>44145</v>
      </c>
      <c r="C189" s="1" t="n">
        <v>45744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58655-2020</t>
        </is>
      </c>
      <c r="B190" s="1" t="n">
        <v>44145</v>
      </c>
      <c r="C190" s="1" t="n">
        <v>45744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58748-2020</t>
        </is>
      </c>
      <c r="B191" s="1" t="n">
        <v>44146</v>
      </c>
      <c r="C191" s="1" t="n">
        <v>45744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58757-2020</t>
        </is>
      </c>
      <c r="B192" s="1" t="n">
        <v>44146</v>
      </c>
      <c r="C192" s="1" t="n">
        <v>45744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58682-2020</t>
        </is>
      </c>
      <c r="B193" s="1" t="n">
        <v>44146</v>
      </c>
      <c r="C193" s="1" t="n">
        <v>45744</v>
      </c>
      <c r="D193" t="inlineStr">
        <is>
          <t>HALLANDS LÄN</t>
        </is>
      </c>
      <c r="E193" t="inlineStr">
        <is>
          <t>FALKENBERG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45744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45744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45744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45744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45744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45744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45744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45744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45744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45744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45744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45744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45744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45744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45744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45744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45744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45744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45744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45744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45744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45744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45744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45744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45744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45744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45744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45744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45744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45744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45744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45744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45744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45744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45744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45744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45744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45744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45744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45744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45744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45744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45744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45744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45744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45744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45744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45744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45744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45744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45744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45744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45744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45744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45744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45744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45744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45744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45744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45744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45744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45744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45744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45744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45744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45744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45744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45744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45744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45744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45744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45744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45744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45744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45744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45744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45744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45744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45744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45744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45744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45744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45744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45744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45744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45744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45744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45744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45744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45744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45744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45744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45744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45744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45744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45744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45744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45744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45744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45744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45744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45744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45744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45744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45744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45744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45744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45744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45744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45744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45744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45744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45744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45744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45744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45744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45744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45744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45744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45744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45744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45744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45744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45744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45744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45744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45744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45744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45744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45744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45744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45744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45744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45744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45744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45744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45744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45744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45744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45744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45744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45744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45744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45744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45744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45744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45744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45744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45744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45744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45744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45744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45744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45744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45744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45744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45744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45744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45744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45744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45744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45744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45744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45744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45744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45744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45744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45744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45744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45744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45744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45744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45744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45744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45744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45744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45744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45744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45744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45744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45744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45744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45744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45744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45744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45744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45744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45744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45744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45744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45744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45744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45744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45744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45744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45744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45744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45744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45744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45744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45744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45744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45744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45744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45744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45744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45744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45744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45744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45744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45744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45744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45744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45744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45744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45744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45744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45744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45744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45744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45744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45744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45744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45744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45744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45744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45744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45744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45744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45744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45744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45744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45744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45744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45744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45744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45744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45744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45744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45744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45744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45744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45744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45744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45744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45744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45744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45744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45744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45744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45744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45744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45744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45744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45744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45744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45744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45744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45744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45744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45744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45744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45744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45744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45744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45744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45744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45744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45744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45744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45744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45744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45744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45744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45744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45744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45744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45744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45744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45744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45744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45744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45744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45744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45744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45744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45744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45744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45744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45744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45744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45744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45744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45744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45744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45744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45744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45744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45744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45744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45744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45744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45744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45744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45744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45744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45744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45744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45744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45744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45744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45744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45744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45744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45744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45744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45744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45744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45744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45744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45744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45744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45744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45744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45744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45744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45744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45744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45744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45744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45744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45744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45744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45744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45744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45744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45744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45744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45744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45744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45744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45744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45744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45744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45744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45744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45744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45744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45744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45744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45744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45744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45744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45744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45744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45744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45744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45744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45744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45744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45744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45744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45744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45744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45744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45744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45744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45744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45744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45744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45744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45744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45744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45744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45744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45744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45744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45744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45744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45744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45744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45744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45744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45744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45744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45744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45744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45744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45744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45744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45744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45744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45744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45744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45744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45744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45744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45744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45744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45744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45744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45744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45744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45744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45744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45744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45744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45744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45744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45744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45744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45744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45744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45744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45744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45744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45744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45744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45744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45744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45744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45744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45744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45744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45744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45744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45744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45744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45744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45744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45744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45744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45744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45744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45744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45744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45744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45744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45744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45744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45744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45744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45744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45744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45744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45744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45744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45744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45744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45744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45744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45744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45744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45744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45744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45744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45744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45744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45744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45744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45744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45744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45744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45744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45744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45744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45744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45744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45744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45744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45744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45744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45744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45744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45744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45744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45744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45744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45744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45744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45744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45744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45744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45744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45744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45744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45744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45744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45744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45744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45744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45744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45744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45744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45744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45744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45744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45744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45744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45744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45744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45744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45744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45744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45744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45744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45744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45744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45744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45744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45744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45744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45744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45744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45744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45744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45744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45744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45744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45744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45744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45744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45744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45744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45744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45744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45744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45744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45744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45744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45744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45744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45744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45744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45744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45744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45744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45744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45744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45744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45744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45744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45744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45744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45744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45744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45744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45744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45744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45744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45744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45744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45744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45744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45744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45744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45744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45744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45744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45744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45744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45744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45744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45744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45744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45744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45744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45744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45744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45744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45744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45744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45744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45744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45744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45744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45744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45744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45744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45744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45744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45744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45744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45744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45744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45744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45744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45744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45744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45744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45744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45744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45744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45744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45744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45744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45744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45744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45744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45744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45744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45744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45744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45744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45744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45744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45744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45744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45744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45744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45744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45744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45744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45744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45744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45744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45744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45744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45744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45744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45744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45744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45744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45744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45744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45744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45744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45744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45744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45744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45744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45744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45744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45744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45744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45744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45744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45744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45744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45744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45744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45744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45744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45744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45744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45744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45744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45744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45744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45744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45744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45744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45744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45744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45744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45744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45744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45744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45744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45744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45744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45744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45744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45744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45744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45744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45744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45744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45744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45744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45744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45744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45744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45744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45744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45744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45744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45744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45744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45744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45744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45744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45744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45744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45744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45744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45744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45744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45744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45744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45744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45744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45744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45744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45744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45744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45744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45744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45744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45744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45744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45744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45744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45744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45744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45744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45744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45744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45744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45744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45744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45744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45744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45744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45744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45744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45744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45744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45744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45744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45744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45744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45744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45744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45744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45744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45744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45744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45744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45744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45744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45744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45744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45744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45744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45744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45744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45744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45744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45744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45744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45744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45744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45744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45744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45744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45744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45744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45744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45744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45744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45744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45744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45744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45744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45744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45744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45744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45744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45744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45744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45744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45744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45744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45744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45744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45744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45744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45744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45744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45744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45744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45744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45744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45744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45744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45744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45744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45744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45744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45744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45744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45744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45744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45744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45744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45744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45744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45744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45744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45744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45744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45744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45744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45744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45744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45744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45744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45744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45744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45744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45744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45744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45744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45744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45744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45744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45744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45744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45744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45744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45744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45744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45744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45744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45744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45744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45744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45744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45744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45744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45744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45744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45744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45744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45744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45744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45744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45744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45744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45744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45744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45744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45744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45744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45744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45744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45744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45744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45744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45744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45744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45744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45744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45744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45744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45744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45744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45744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45744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45744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45744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45744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45744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45744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45744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45744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45744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45744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45744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45744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45744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45744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45744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45744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45744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45744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45744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45744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45744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45744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45744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45744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45744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45744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45744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45744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45744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45744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45744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45744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45744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45744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45744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45744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45744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45744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45744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45744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45744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45744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45744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45744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45744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45744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45744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45744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45744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45744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45744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45744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9352-2025</t>
        </is>
      </c>
      <c r="B1095" s="1" t="n">
        <v>45714</v>
      </c>
      <c r="C1095" s="1" t="n">
        <v>45744</v>
      </c>
      <c r="D1095" t="inlineStr">
        <is>
          <t>HALLANDS LÄN</t>
        </is>
      </c>
      <c r="E1095" t="inlineStr">
        <is>
          <t>FALKENBERG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45744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45744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45744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45744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45744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11106-2025</t>
        </is>
      </c>
      <c r="B1101" s="1" t="n">
        <v>45723</v>
      </c>
      <c r="C1101" s="1" t="n">
        <v>45744</v>
      </c>
      <c r="D1101" t="inlineStr">
        <is>
          <t>HALLANDS LÄN</t>
        </is>
      </c>
      <c r="E1101" t="inlineStr">
        <is>
          <t>FALKENBERG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45744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11104-2025</t>
        </is>
      </c>
      <c r="B1103" s="1" t="n">
        <v>45723</v>
      </c>
      <c r="C1103" s="1" t="n">
        <v>45744</v>
      </c>
      <c r="D1103" t="inlineStr">
        <is>
          <t>HALLANDS LÄN</t>
        </is>
      </c>
      <c r="E1103" t="inlineStr">
        <is>
          <t>FALKENBERG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11186-2025</t>
        </is>
      </c>
      <c r="B1104" s="1" t="n">
        <v>45725</v>
      </c>
      <c r="C1104" s="1" t="n">
        <v>45744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9.300000000000001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45744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11188-2025</t>
        </is>
      </c>
      <c r="B1106" s="1" t="n">
        <v>45725</v>
      </c>
      <c r="C1106" s="1" t="n">
        <v>45744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45744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45744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12196-2025</t>
        </is>
      </c>
      <c r="B1109" s="1" t="n">
        <v>45729</v>
      </c>
      <c r="C1109" s="1" t="n">
        <v>45744</v>
      </c>
      <c r="D1109" t="inlineStr">
        <is>
          <t>HALLANDS LÄN</t>
        </is>
      </c>
      <c r="E1109" t="inlineStr">
        <is>
          <t>FALKENBERG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45744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13168-2025</t>
        </is>
      </c>
      <c r="B1111" s="1" t="n">
        <v>45735</v>
      </c>
      <c r="C1111" s="1" t="n">
        <v>45744</v>
      </c>
      <c r="D1111" t="inlineStr">
        <is>
          <t>HALLANDS LÄN</t>
        </is>
      </c>
      <c r="E1111" t="inlineStr">
        <is>
          <t>FALKENBERG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13284-2025</t>
        </is>
      </c>
      <c r="B1112" s="1" t="n">
        <v>45735</v>
      </c>
      <c r="C1112" s="1" t="n">
        <v>45744</v>
      </c>
      <c r="D1112" t="inlineStr">
        <is>
          <t>HALLANDS LÄN</t>
        </is>
      </c>
      <c r="E1112" t="inlineStr">
        <is>
          <t>FALKENBERG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45744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13213-2025</t>
        </is>
      </c>
      <c r="B1114" s="1" t="n">
        <v>45735</v>
      </c>
      <c r="C1114" s="1" t="n">
        <v>45744</v>
      </c>
      <c r="D1114" t="inlineStr">
        <is>
          <t>HALLANDS LÄN</t>
        </is>
      </c>
      <c r="E1114" t="inlineStr">
        <is>
          <t>FALKENBERG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13210-2025</t>
        </is>
      </c>
      <c r="B1115" s="1" t="n">
        <v>45735</v>
      </c>
      <c r="C1115" s="1" t="n">
        <v>45744</v>
      </c>
      <c r="D1115" t="inlineStr">
        <is>
          <t>HALLANDS LÄN</t>
        </is>
      </c>
      <c r="E1115" t="inlineStr">
        <is>
          <t>FALKENBERG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13222-2025</t>
        </is>
      </c>
      <c r="B1116" s="1" t="n">
        <v>45735</v>
      </c>
      <c r="C1116" s="1" t="n">
        <v>45744</v>
      </c>
      <c r="D1116" t="inlineStr">
        <is>
          <t>HALLANDS LÄN</t>
        </is>
      </c>
      <c r="E1116" t="inlineStr">
        <is>
          <t>FALKENBERG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13219-2025</t>
        </is>
      </c>
      <c r="B1117" s="1" t="n">
        <v>45735</v>
      </c>
      <c r="C1117" s="1" t="n">
        <v>45744</v>
      </c>
      <c r="D1117" t="inlineStr">
        <is>
          <t>HALLANDS LÄN</t>
        </is>
      </c>
      <c r="E1117" t="inlineStr">
        <is>
          <t>FALKENBERG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13565-2025</t>
        </is>
      </c>
      <c r="B1118" s="1" t="n">
        <v>45736</v>
      </c>
      <c r="C1118" s="1" t="n">
        <v>45744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13595-2025</t>
        </is>
      </c>
      <c r="B1119" s="1" t="n">
        <v>45736</v>
      </c>
      <c r="C1119" s="1" t="n">
        <v>45744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14471-2025</t>
        </is>
      </c>
      <c r="B1120" s="1" t="n">
        <v>45741</v>
      </c>
      <c r="C1120" s="1" t="n">
        <v>45744</v>
      </c>
      <c r="D1120" t="inlineStr">
        <is>
          <t>HALLANDS LÄN</t>
        </is>
      </c>
      <c r="E1120" t="inlineStr">
        <is>
          <t>FALKENBERG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45744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14472-2025</t>
        </is>
      </c>
      <c r="B1122" s="1" t="n">
        <v>45741</v>
      </c>
      <c r="C1122" s="1" t="n">
        <v>45744</v>
      </c>
      <c r="D1122" t="inlineStr">
        <is>
          <t>HALLANDS LÄN</t>
        </is>
      </c>
      <c r="E1122" t="inlineStr">
        <is>
          <t>FALKENBERG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14500-2025</t>
        </is>
      </c>
      <c r="B1123" s="1" t="n">
        <v>45741</v>
      </c>
      <c r="C1123" s="1" t="n">
        <v>45744</v>
      </c>
      <c r="D1123" t="inlineStr">
        <is>
          <t>HALLANDS LÄN</t>
        </is>
      </c>
      <c r="E1123" t="inlineStr">
        <is>
          <t>FALKENBERG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14505-2025</t>
        </is>
      </c>
      <c r="B1124" s="1" t="n">
        <v>45741</v>
      </c>
      <c r="C1124" s="1" t="n">
        <v>45744</v>
      </c>
      <c r="D1124" t="inlineStr">
        <is>
          <t>HALLANDS LÄN</t>
        </is>
      </c>
      <c r="E1124" t="inlineStr">
        <is>
          <t>FALKENBERG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14845-2025</t>
        </is>
      </c>
      <c r="B1125" s="1" t="n">
        <v>45743</v>
      </c>
      <c r="C1125" s="1" t="n">
        <v>45744</v>
      </c>
      <c r="D1125" t="inlineStr">
        <is>
          <t>HALLANDS LÄN</t>
        </is>
      </c>
      <c r="E1125" t="inlineStr">
        <is>
          <t>FALKENBERG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14849-2025</t>
        </is>
      </c>
      <c r="B1126" s="1" t="n">
        <v>45743</v>
      </c>
      <c r="C1126" s="1" t="n">
        <v>45744</v>
      </c>
      <c r="D1126" t="inlineStr">
        <is>
          <t>HALLANDS LÄN</t>
        </is>
      </c>
      <c r="E1126" t="inlineStr">
        <is>
          <t>FALKENBERG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14847-2025</t>
        </is>
      </c>
      <c r="B1127" s="1" t="n">
        <v>45743</v>
      </c>
      <c r="C1127" s="1" t="n">
        <v>45744</v>
      </c>
      <c r="D1127" t="inlineStr">
        <is>
          <t>HALLANDS LÄN</t>
        </is>
      </c>
      <c r="E1127" t="inlineStr">
        <is>
          <t>FALKENBERG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>
      <c r="A1128" t="inlineStr">
        <is>
          <t>A 14911-2025</t>
        </is>
      </c>
      <c r="B1128" s="1" t="n">
        <v>45743</v>
      </c>
      <c r="C1128" s="1" t="n">
        <v>45744</v>
      </c>
      <c r="D1128" t="inlineStr">
        <is>
          <t>HALLANDS LÄN</t>
        </is>
      </c>
      <c r="E1128" t="inlineStr">
        <is>
          <t>FALKENBERG</t>
        </is>
      </c>
      <c r="F1128" t="inlineStr">
        <is>
          <t>Kyrkan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2025-03-28T18:29:40Z</dcterms:created>
  <dcterms:modified xmlns:dcterms="http://purl.org/dc/terms/" xmlns:xsi="http://www.w3.org/2001/XMLSchema-instance" xsi:type="dcterms:W3CDTF">2025-03-28T18:29:41Z</dcterms:modified>
</cp:coreProperties>
</file>